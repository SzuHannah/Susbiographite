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qqisi\Susbiographite\graphite_sus\data\price\"/>
    </mc:Choice>
  </mc:AlternateContent>
  <xr:revisionPtr revIDLastSave="0" documentId="13_ncr:1_{F66D6B99-3247-4A50-825E-51A99BEDD7EA}" xr6:coauthVersionLast="47" xr6:coauthVersionMax="47" xr10:uidLastSave="{00000000-0000-0000-0000-000000000000}"/>
  <bookViews>
    <workbookView xWindow="-108" yWindow="-108" windowWidth="23256" windowHeight="13896" xr2:uid="{07F6B24B-2CD7-482F-9DC7-158F0658BBDC}"/>
  </bookViews>
  <sheets>
    <sheet name="raw" sheetId="1" r:id="rId1"/>
    <sheet name="logistics" sheetId="5" r:id="rId2"/>
    <sheet name="industrial" sheetId="2" r:id="rId3"/>
    <sheet name="2025_feed_price" sheetId="4" r:id="rId4"/>
    <sheet name="commercial" sheetId="6" r:id="rId5"/>
    <sheet name="INDIC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7" i="2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" i="6"/>
  <c r="E3" i="2"/>
  <c r="H3" i="2"/>
  <c r="L3" i="2"/>
  <c r="C2" i="4" l="1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" i="6"/>
  <c r="D3" i="2"/>
  <c r="F3" i="2"/>
  <c r="E3" i="5"/>
  <c r="E4" i="5"/>
  <c r="E5" i="5"/>
  <c r="E6" i="5"/>
  <c r="E7" i="5"/>
  <c r="E8" i="5"/>
  <c r="E9" i="5"/>
  <c r="E2" i="5"/>
  <c r="C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E11" i="5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H54" i="2" s="1"/>
  <c r="L4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3" i="4" l="1"/>
  <c r="C15" i="4"/>
  <c r="C27" i="4"/>
  <c r="C39" i="4"/>
  <c r="C51" i="4"/>
  <c r="C31" i="4"/>
  <c r="C20" i="4"/>
  <c r="C44" i="4"/>
  <c r="C4" i="4"/>
  <c r="C16" i="4"/>
  <c r="C28" i="4"/>
  <c r="C40" i="4"/>
  <c r="C52" i="4"/>
  <c r="C43" i="4"/>
  <c r="C32" i="4"/>
  <c r="C21" i="4"/>
  <c r="C33" i="4"/>
  <c r="C45" i="4"/>
  <c r="C5" i="4"/>
  <c r="C17" i="4"/>
  <c r="C29" i="4"/>
  <c r="C41" i="4"/>
  <c r="C19" i="4"/>
  <c r="C22" i="4"/>
  <c r="C49" i="4"/>
  <c r="C6" i="4"/>
  <c r="C18" i="4"/>
  <c r="C30" i="4"/>
  <c r="C42" i="4"/>
  <c r="C46" i="4"/>
  <c r="C7" i="4"/>
  <c r="C8" i="4"/>
  <c r="C9" i="4"/>
  <c r="C10" i="4"/>
  <c r="C11" i="4"/>
  <c r="C23" i="4"/>
  <c r="C35" i="4"/>
  <c r="C47" i="4"/>
  <c r="C37" i="4"/>
  <c r="C12" i="4"/>
  <c r="C24" i="4"/>
  <c r="C36" i="4"/>
  <c r="C48" i="4"/>
  <c r="C25" i="4"/>
  <c r="C13" i="4"/>
  <c r="C14" i="4"/>
  <c r="C26" i="4"/>
  <c r="C38" i="4"/>
  <c r="C50" i="4"/>
  <c r="C34" i="4"/>
  <c r="F23" i="2"/>
  <c r="H23" i="2"/>
  <c r="F44" i="2"/>
  <c r="H44" i="2"/>
  <c r="F21" i="2"/>
  <c r="H21" i="2"/>
  <c r="F42" i="2"/>
  <c r="H42" i="2"/>
  <c r="F20" i="2"/>
  <c r="H20" i="2"/>
  <c r="F19" i="2"/>
  <c r="H19" i="2"/>
  <c r="F18" i="2"/>
  <c r="H18" i="2"/>
  <c r="F39" i="2"/>
  <c r="H39" i="2"/>
  <c r="F17" i="2"/>
  <c r="H17" i="2"/>
  <c r="F16" i="2"/>
  <c r="H16" i="2"/>
  <c r="F37" i="2"/>
  <c r="H37" i="2"/>
  <c r="F15" i="2"/>
  <c r="H15" i="2"/>
  <c r="F14" i="2"/>
  <c r="H14" i="2"/>
  <c r="F35" i="2"/>
  <c r="H35" i="2"/>
  <c r="F13" i="2"/>
  <c r="H13" i="2"/>
  <c r="F12" i="2"/>
  <c r="H12" i="2"/>
  <c r="F32" i="2"/>
  <c r="H32" i="2"/>
  <c r="F53" i="2"/>
  <c r="H53" i="2"/>
  <c r="F31" i="2"/>
  <c r="H31" i="2"/>
  <c r="F9" i="2"/>
  <c r="H9" i="2"/>
  <c r="F52" i="2"/>
  <c r="H52" i="2"/>
  <c r="F30" i="2"/>
  <c r="H30" i="2"/>
  <c r="F8" i="2"/>
  <c r="H8" i="2"/>
  <c r="F51" i="2"/>
  <c r="H51" i="2"/>
  <c r="F29" i="2"/>
  <c r="H29" i="2"/>
  <c r="F7" i="2"/>
  <c r="H7" i="2"/>
  <c r="F50" i="2"/>
  <c r="H50" i="2"/>
  <c r="F28" i="2"/>
  <c r="H28" i="2"/>
  <c r="F6" i="2"/>
  <c r="H6" i="2"/>
  <c r="F49" i="2"/>
  <c r="H49" i="2"/>
  <c r="F27" i="2"/>
  <c r="H27" i="2"/>
  <c r="F5" i="2"/>
  <c r="H5" i="2"/>
  <c r="F48" i="2"/>
  <c r="H48" i="2"/>
  <c r="F26" i="2"/>
  <c r="H26" i="2"/>
  <c r="F4" i="2"/>
  <c r="H4" i="2"/>
  <c r="F45" i="2"/>
  <c r="H45" i="2"/>
  <c r="F22" i="2"/>
  <c r="H22" i="2"/>
  <c r="F43" i="2"/>
  <c r="H43" i="2"/>
  <c r="F41" i="2"/>
  <c r="H41" i="2"/>
  <c r="F40" i="2"/>
  <c r="H40" i="2"/>
  <c r="F38" i="2"/>
  <c r="H38" i="2"/>
  <c r="F36" i="2"/>
  <c r="H36" i="2"/>
  <c r="F34" i="2"/>
  <c r="H34" i="2"/>
  <c r="F33" i="2"/>
  <c r="H33" i="2"/>
  <c r="F11" i="2"/>
  <c r="H11" i="2"/>
  <c r="F10" i="2"/>
  <c r="H10" i="2"/>
  <c r="F47" i="2"/>
  <c r="H47" i="2"/>
  <c r="F25" i="2"/>
  <c r="H25" i="2"/>
  <c r="F46" i="2"/>
  <c r="H46" i="2"/>
  <c r="F24" i="2"/>
  <c r="H24" i="2"/>
  <c r="F54" i="2"/>
  <c r="B17" i="5" l="1"/>
  <c r="B16" i="5"/>
  <c r="L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tc={13B3E096-F2B8-4856-898B-D80827C5793B}</author>
  </authors>
  <commentList>
    <comment ref="F7" authorId="0" shapeId="0" xr:uid="{13B3E096-F2B8-4856-898B-D80827C579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Mentioned in 21886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tc={3FEE1290-652D-46B6-B7F5-A5BEF3F8722F}</author>
  </authors>
  <commentList>
    <comment ref="B11" authorId="0" shapeId="0" xr:uid="{3FEE1290-652D-46B6-B7F5-A5BEF3F8722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maryland’s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tc={C990D56B-BB86-49B1-BF6B-3FFEAF871750}</author>
  </authors>
  <commentList>
    <comment ref="C1" authorId="0" shapeId="0" xr:uid="{C990D56B-BB86-49B1-BF6B-3FFEAF87175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adds the logistics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Jechura</author>
  </authors>
  <commentList>
    <comment ref="R4" authorId="0" shapeId="0" xr:uid="{91802BBE-56F9-4CCF-95AA-86EA65767BBE}">
      <text>
        <r>
          <rPr>
            <b/>
            <sz val="10"/>
            <color indexed="81"/>
            <rFont val="Tahoma"/>
            <family val="2"/>
          </rPr>
          <t>John Jechura:</t>
        </r>
        <r>
          <rPr>
            <sz val="10"/>
            <color indexed="81"/>
            <rFont val="Tahoma"/>
            <family val="2"/>
          </rPr>
          <t xml:space="preserve">
Previously from EEU32280006, Chemicals and Allied Products.</t>
        </r>
      </text>
    </comment>
  </commentList>
</comments>
</file>

<file path=xl/sharedStrings.xml><?xml version="1.0" encoding="utf-8"?>
<sst xmlns="http://schemas.openxmlformats.org/spreadsheetml/2006/main" count="626" uniqueCount="193">
  <si>
    <t>Table F33: Wood and biomass waste price and expenditure estimates, 2023</t>
  </si>
  <si>
    <t>State</t>
  </si>
  <si>
    <t>Prices</t>
  </si>
  <si>
    <t>Expenditures</t>
  </si>
  <si>
    <t>Wood</t>
  </si>
  <si>
    <r>
      <t>Wood and biomass waste </t>
    </r>
    <r>
      <rPr>
        <b/>
        <vertAlign val="superscript"/>
        <sz val="7"/>
        <color rgb="FF333333"/>
        <rFont val="Inherit"/>
      </rPr>
      <t>a</t>
    </r>
  </si>
  <si>
    <r>
      <t>Total </t>
    </r>
    <r>
      <rPr>
        <b/>
        <vertAlign val="superscript"/>
        <sz val="7"/>
        <color rgb="FF333333"/>
        <rFont val="Inherit"/>
      </rPr>
      <t>b</t>
    </r>
  </si>
  <si>
    <t>Residential</t>
  </si>
  <si>
    <t>Commercial</t>
  </si>
  <si>
    <t>Industrial</t>
  </si>
  <si>
    <t>Electric power</t>
  </si>
  <si>
    <t>Dollars per million Btu</t>
  </si>
  <si>
    <t>Million dollars</t>
  </si>
  <si>
    <t>Alabama</t>
  </si>
  <si>
    <t>Alaska</t>
  </si>
  <si>
    <t>—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</si>
  <si>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</si>
  <si>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</si>
  <si>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</si>
  <si>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</si>
  <si>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</si>
  <si>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</si>
  <si>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</si>
  <si>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</si>
  <si>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</si>
  <si>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</si>
  <si>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</si>
  <si>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</si>
  <si>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</si>
  <si>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</si>
  <si>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</si>
  <si>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</si>
  <si>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</si>
  <si>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</si>
  <si>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</si>
  <si>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</si>
  <si>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</si>
  <si>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</si>
  <si>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</si>
  <si>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</si>
  <si>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</si>
  <si>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</si>
  <si>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</si>
  <si>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</si>
  <si>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</si>
  <si>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</si>
  <si>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(s)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</si>
  <si>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</si>
  <si>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</si>
  <si>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</si>
  <si>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</si>
  <si>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</si>
  <si>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</si>
  <si>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</si>
  <si>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</si>
  <si>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</si>
  <si>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</si>
  <si>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</si>
  <si>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</si>
  <si>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</si>
  <si>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</si>
  <si>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</si>
  <si>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</si>
  <si>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</si>
  <si>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</si>
  <si>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</si>
  <si>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</si>
  <si>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Industrial 
(Dollars per million Btu)</t>
  </si>
  <si>
    <t>Industrial 
(Dollars per kg biomass)</t>
  </si>
  <si>
    <t>Industrial 
(Dollars per kJ)</t>
  </si>
  <si>
    <t>Industrial 
(Dollars per metric ton biomass)</t>
  </si>
  <si>
    <t>link</t>
  </si>
  <si>
    <t>https://www.eia.gov/state/seds/data.php?incfile=/state/seds/sep_fuel/html/fuel_pr_ww.html&amp;sid=US</t>
  </si>
  <si>
    <t>0.01927 MMBtu/kg</t>
  </si>
  <si>
    <r>
      <rPr>
        <b/>
        <sz val="11"/>
        <color theme="1"/>
        <rFont val="Aptos Narrow"/>
        <family val="2"/>
        <scheme val="minor"/>
      </rPr>
      <t>$/kg biomass</t>
    </r>
    <r>
      <rPr>
        <sz val="11"/>
        <color theme="1"/>
        <rFont val="Aptos Narrow"/>
        <family val="2"/>
        <scheme val="minor"/>
      </rPr>
      <t xml:space="preserve"> using an assumed HHV of </t>
    </r>
    <r>
      <rPr>
        <b/>
        <sz val="11"/>
        <color theme="1"/>
        <rFont val="Aptos Narrow"/>
        <family val="2"/>
        <scheme val="minor"/>
      </rPr>
      <t>17.48 MMBtu per short ton (dry wood &amp; residuals)</t>
    </r>
    <r>
      <rPr>
        <sz val="11"/>
        <color theme="1"/>
        <rFont val="Aptos Narrow"/>
        <family val="2"/>
        <scheme val="minor"/>
      </rPr>
      <t xml:space="preserve"> → 0.01927 MMBtu/kg</t>
    </r>
  </si>
  <si>
    <t>MMBtu to short ton ref</t>
  </si>
  <si>
    <t>minimum</t>
  </si>
  <si>
    <t>maximum</t>
  </si>
  <si>
    <t>kg</t>
  </si>
  <si>
    <t>whole us</t>
  </si>
  <si>
    <t>Industrial 
(Dollars per short ton  biomass)</t>
  </si>
  <si>
    <t>Plant Cost Indices</t>
  </si>
  <si>
    <t>PPI Chemical Index</t>
  </si>
  <si>
    <t>Labor Index</t>
  </si>
  <si>
    <t xml:space="preserve">Source: </t>
  </si>
  <si>
    <t>(1)Chemical Engineering Magazine</t>
  </si>
  <si>
    <t xml:space="preserve">Source:  </t>
  </si>
  <si>
    <t>https://fred.stlouisfed.org/series/PCU325325#0</t>
  </si>
  <si>
    <t>Source:</t>
  </si>
  <si>
    <t>(1) Bureau of Labor Statistics</t>
  </si>
  <si>
    <t>Series ID:</t>
  </si>
  <si>
    <t xml:space="preserve">CEU3232500008 </t>
  </si>
  <si>
    <t>Chemicals</t>
  </si>
  <si>
    <t>Average Hourly Earnings of Production Workers</t>
  </si>
  <si>
    <t>Current indices @</t>
  </si>
  <si>
    <t>Source</t>
  </si>
  <si>
    <t>Year</t>
  </si>
  <si>
    <t>Index</t>
  </si>
  <si>
    <t>Price Index</t>
  </si>
  <si>
    <t>(1)</t>
  </si>
  <si>
    <t>Calculated</t>
  </si>
  <si>
    <t>current year</t>
  </si>
  <si>
    <t>quote year</t>
  </si>
  <si>
    <t>StateCode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</si>
  <si>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</si>
  <si>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</si>
  <si>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</si>
  <si>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</si>
  <si>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</si>
  <si>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</si>
  <si>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</si>
  <si>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</si>
  <si>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</si>
  <si>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</si>
  <si>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</si>
  <si>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</si>
  <si>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</si>
  <si>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</si>
  <si>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</si>
  <si>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</si>
  <si>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</si>
  <si>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</si>
  <si>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</si>
  <si>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</si>
  <si>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</si>
  <si>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</si>
  <si>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</si>
  <si>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</si>
  <si>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</si>
  <si>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</si>
  <si>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</si>
  <si>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</si>
  <si>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</si>
  <si>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</si>
  <si>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</si>
  <si>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</si>
  <si>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</si>
  <si>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</si>
  <si>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</si>
  <si>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</si>
  <si>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</si>
  <si>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</si>
  <si>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</si>
  <si>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</si>
  <si>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</si>
  <si>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</si>
  <si>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</si>
  <si>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</si>
  <si>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</si>
  <si>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</si>
  <si>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</si>
  <si>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</si>
  <si>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</si>
  <si>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</si>
  <si>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DC</t>
  </si>
  <si>
    <t>Term</t>
  </si>
  <si>
    <t>What it covers</t>
  </si>
  <si>
    <t>2022 SOT $/dry ton</t>
  </si>
  <si>
    <t>$/kg</t>
  </si>
  <si>
    <t>Grower payment</t>
  </si>
  <si>
    <t>Harvest &amp; collection</t>
  </si>
  <si>
    <t>Felling/skidding or residue gathering to landing.</t>
  </si>
  <si>
    <t>Field-side preprocessing</t>
  </si>
  <si>
    <t>In-forest bundling/chipping/primary sizing at landing.</t>
  </si>
  <si>
    <t>Transportation</t>
  </si>
  <si>
    <t>Truck haul from landing to depot/biorefinery (modeled draw radius).</t>
  </si>
  <si>
    <t>Storage</t>
  </si>
  <si>
    <t>Pile/yard storage, losses &amp; ops.</t>
  </si>
  <si>
    <t>Preprocessing</t>
  </si>
  <si>
    <t>Handling</t>
  </si>
  <si>
    <t>Preproc construction</t>
  </si>
  <si>
    <t>Capital charge for the preprocessing area.</t>
  </si>
  <si>
    <t>Stumpage/gate price paid to landowner/wood source (your state price usually goes here).</t>
  </si>
  <si>
    <t>Depot/biorefinery size-reduction, drying, fractionation to reactor spec (you said you’ll supply this).</t>
  </si>
  <si>
    <t>Queuing and plant-gate handling to reactor throat (you’ll supply this).</t>
  </si>
  <si>
    <t>Feedstock Supply Chain Analysis</t>
  </si>
  <si>
    <t>current year $/kg</t>
  </si>
  <si>
    <t>reference year</t>
  </si>
  <si>
    <t>note</t>
  </si>
  <si>
    <t>ref overall</t>
  </si>
  <si>
    <t>this process feedstock to 10% moisture, we include in A100</t>
  </si>
  <si>
    <t>we include in A100</t>
  </si>
  <si>
    <t>exc. Preprcess to preproc construction</t>
  </si>
  <si>
    <t>industrial_dollar_per_kg</t>
  </si>
  <si>
    <t>min</t>
  </si>
  <si>
    <t>max</t>
  </si>
  <si>
    <t>Across the U.S. after adding logistics and industrial</t>
  </si>
  <si>
    <t>Commercial
(Dollars per short ton  biomass)</t>
  </si>
  <si>
    <t>Commercial
(Dollars per kg biomass)</t>
  </si>
  <si>
    <t>Commercial
(Dollars per metric ton biomass)</t>
  </si>
  <si>
    <t>industrial_logistics_per_kg</t>
  </si>
  <si>
    <t>t</t>
  </si>
  <si>
    <t>https://www.epa.gov/system/files/documents/2022-10/Default%20Heat%20Content%20Ratios%20for%20Help%20and%20User%20Guide%20%281%29.pdf?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</si>
</sst>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333333"/>
      <name val="Inherit"/>
    </font>
    <font>
      <b/>
      <vertAlign val="superscript"/>
      <sz val="7"/>
      <color rgb="FF333333"/>
      <name val="Inherit"/>
    </font>
    <font>
      <b/>
      <sz val="13.5"/>
      <color theme="1"/>
      <name val="Inherit"/>
    </font>
    <font>
      <sz val="7"/>
      <color rgb="FF333333"/>
      <name val="Inherit"/>
    </font>
    <font>
      <u/>
      <sz val="11"/>
      <color theme="10"/>
      <name val="Aptos Narrow"/>
      <family val="2"/>
      <scheme val="minor"/>
    </font>
    <font>
      <sz val="7"/>
      <color rgb="FFFF0000"/>
      <name val="Inherit"/>
    </font>
    <font>
      <sz val="10"/>
      <color rgb="FF001D35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189BD7"/>
      </bottom>
      <diagonal/>
    </border>
    <border>
      <left/>
      <right/>
      <top style="medium">
        <color rgb="FFCCCCCC"/>
      </top>
      <bottom style="medium">
        <color rgb="FF189BD7"/>
      </bottom>
      <diagonal/>
    </border>
    <border>
      <left/>
      <right style="medium">
        <color rgb="FFCCCCCC"/>
      </right>
      <top style="medium">
        <color rgb="FFCCCCCC"/>
      </top>
      <bottom style="medium">
        <color rgb="FF189BD7"/>
      </bottom>
      <diagonal/>
    </border>
    <border>
      <left/>
      <right/>
      <top style="medium">
        <color rgb="FF189BD7"/>
      </top>
      <bottom style="mediumDashed">
        <color rgb="FFCCCCCC"/>
      </bottom>
      <diagonal/>
    </border>
    <border>
      <left/>
      <right/>
      <top/>
      <bottom style="mediumDashed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wrapText="1" indent="1"/>
    </xf>
    <xf numFmtId="0" fontId="5" fillId="2" borderId="11" xfId="0" applyFont="1" applyFill="1" applyBorder="1" applyAlignment="1">
      <alignment horizontal="right" vertical="top" indent="1"/>
    </xf>
    <xf numFmtId="0" fontId="5" fillId="2" borderId="12" xfId="0" applyFont="1" applyFill="1" applyBorder="1" applyAlignment="1">
      <alignment horizontal="right" vertical="top" indent="1"/>
    </xf>
    <xf numFmtId="4" fontId="5" fillId="2" borderId="12" xfId="0" applyNumberFormat="1" applyFont="1" applyFill="1" applyBorder="1" applyAlignment="1">
      <alignment horizontal="right" vertical="top" indent="1"/>
    </xf>
    <xf numFmtId="0" fontId="2" fillId="2" borderId="4" xfId="0" applyFont="1" applyFill="1" applyBorder="1" applyAlignment="1">
      <alignment horizontal="left" indent="1"/>
    </xf>
    <xf numFmtId="0" fontId="7" fillId="2" borderId="12" xfId="0" applyFont="1" applyFill="1" applyBorder="1" applyAlignment="1">
      <alignment horizontal="right" vertical="top" indent="1"/>
    </xf>
    <xf numFmtId="0" fontId="2" fillId="2" borderId="9" xfId="0" applyFont="1" applyFill="1" applyBorder="1" applyAlignment="1">
      <alignment horizontal="left" wrapText="1" indent="1"/>
    </xf>
    <xf numFmtId="0" fontId="8" fillId="0" borderId="0" xfId="0" applyFont="1"/>
    <xf numFmtId="0" fontId="6" fillId="0" borderId="0" xfId="1"/>
    <xf numFmtId="0" fontId="2" fillId="2" borderId="0" xfId="0" applyFont="1" applyFill="1" applyAlignment="1">
      <alignment horizontal="left" wrapText="1" indent="1"/>
    </xf>
    <xf numFmtId="0" fontId="5" fillId="2" borderId="0" xfId="0" applyFont="1" applyFill="1" applyAlignment="1">
      <alignment horizontal="right" vertical="top" indent="1"/>
    </xf>
    <xf numFmtId="0" fontId="0" fillId="3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1" fillId="0" borderId="14" xfId="0" applyFont="1" applyBorder="1"/>
    <xf numFmtId="0" fontId="0" fillId="0" borderId="14" xfId="0" applyBorder="1"/>
    <xf numFmtId="0" fontId="0" fillId="4" borderId="14" xfId="0" applyFill="1" applyBorder="1"/>
    <xf numFmtId="164" fontId="0" fillId="4" borderId="14" xfId="0" applyNumberFormat="1" applyFill="1" applyBorder="1"/>
    <xf numFmtId="2" fontId="0" fillId="4" borderId="14" xfId="0" applyNumberFormat="1" applyFill="1" applyBorder="1"/>
    <xf numFmtId="0" fontId="4" fillId="0" borderId="13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2" fillId="2" borderId="2" xfId="0" applyFont="1" applyFill="1" applyBorder="1" applyAlignment="1">
      <alignment horizontal="left" indent="1"/>
    </xf>
    <xf numFmtId="0" fontId="2" fillId="2" borderId="3" xfId="0" applyFont="1" applyFill="1" applyBorder="1" applyAlignment="1">
      <alignment horizontal="left" indent="1"/>
    </xf>
    <xf numFmtId="0" fontId="2" fillId="2" borderId="4" xfId="0" applyFont="1" applyFill="1" applyBorder="1" applyAlignment="1">
      <alignment horizontal="left" indent="1"/>
    </xf>
    <xf numFmtId="0" fontId="2" fillId="2" borderId="5" xfId="0" applyFont="1" applyFill="1" applyBorder="1" applyAlignment="1">
      <alignment horizontal="left" indent="1"/>
    </xf>
    <xf numFmtId="0" fontId="2" fillId="2" borderId="6" xfId="0" applyFont="1" applyFill="1" applyBorder="1" applyAlignment="1">
      <alignment horizontal="left" indent="1"/>
    </xf>
    <xf numFmtId="0" fontId="2" fillId="2" borderId="7" xfId="0" applyFont="1" applyFill="1" applyBorder="1" applyAlignment="1">
      <alignment horizontal="left" indent="1"/>
    </xf>
    <xf numFmtId="0" fontId="2" fillId="2" borderId="8" xfId="0" applyFont="1" applyFill="1" applyBorder="1" applyAlignment="1">
      <alignment horizontal="left" indent="1"/>
    </xf>
    <xf numFmtId="0" fontId="2" fillId="2" borderId="9" xfId="0" applyFont="1" applyFill="1" applyBorder="1" applyAlignment="1">
      <alignment horizontal="left" indent="1"/>
    </xf>
    <xf numFmtId="0" fontId="2" fillId="2" borderId="10" xfId="0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ng, Hannah" id="{5DEBD2EF-1BC4-4EB8-9FE5-7CBFC7408852}" userId="S::hannah.wang.sw2285@yale.edu::36103668-7ffc-4355-a260-70907b889b6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5-10-23T03:04:45.78" personId="{5DEBD2EF-1BC4-4EB8-9FE5-7CBFC7408852}" id="{13B3E096-F2B8-4856-898B-D80827C5793B}">
    <text xml:space="preserve">Mentioned in 21886 </text>
    <extLst>
      <x:ext xmlns:xltc2="http://schemas.microsoft.com/office/spreadsheetml/2020/threadedcomments2" uri="{F7C98A9C-CBB3-438F-8F68-D28B6AF4A901}">
        <xltc2:checksum>2147914775</xltc2:checksum>
        <xltc2:hyperlink startIndex="13" length="5" url="https://inldigitallibrary.inl.gov/sites/sti/sti/Sort_21886.pdf?utm_source=chatgpt.com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08-21T20:09:19.85" personId="{5DEBD2EF-1BC4-4EB8-9FE5-7CBFC7408852}" id="{3FEE1290-652D-46B6-B7F5-A5BEF3F8722F}">
    <text>Use maryland’s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10-23T03:07:34.17" personId="{5DEBD2EF-1BC4-4EB8-9FE5-7CBFC7408852}" id="{C990D56B-BB86-49B1-BF6B-3FFEAF871750}">
    <text>This adds the logistics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state/seds/data.php?incfile=/state/seds/sep_fuel/html/fuel_pr_ww.html&amp;sid=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energy.gov/sites/default/files/2023-05/beto-01-project-peer-review-feed-apr-2023-thompson.pdf" TargetMode="Externa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ww.epa.gov/system/files/documents/2022-10/Default%20Heat%20Content%20Ratios%20for%20Help%20and%20User%20Guide%20%281%29.pdf?" TargetMode="Externa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fred.stlouisfed.org/series/PCU3253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6582-7B84-45EA-83C6-8A99405630F8}">
  <dimension ref="A1:M57"/>
  <sheetViews>
    <sheetView tabSelected="1" workbookViewId="0">
      <selection activeCell="A2" sqref="A2:F57"/>
    </sheetView>
  </sheetViews>
  <sheetFormatPr defaultRowHeight="14.4"/>
  <cols>
    <col min="1" max="1" width="13.88671875" customWidth="1"/>
  </cols>
  <sheetData>
    <row r="1" spans="1:13" ht="18" thickBo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M1" t="s">
        <v>71</v>
      </c>
    </row>
    <row r="2" spans="1:13" ht="15" thickBot="1">
      <c r="A2" s="28" t="s">
        <v>1</v>
      </c>
      <c r="B2" s="31" t="s">
        <v>2</v>
      </c>
      <c r="C2" s="32"/>
      <c r="D2" s="32"/>
      <c r="E2" s="32"/>
      <c r="F2" s="33"/>
      <c r="G2" s="31" t="s">
        <v>3</v>
      </c>
      <c r="H2" s="32"/>
      <c r="I2" s="32"/>
      <c r="J2" s="32"/>
      <c r="K2" s="33"/>
      <c r="M2" s="10" t="s">
        <v>72</v>
      </c>
    </row>
    <row r="3" spans="1:13" ht="15" thickBot="1">
      <c r="A3" s="29"/>
      <c r="B3" s="1" t="s">
        <v>4</v>
      </c>
      <c r="C3" s="31" t="s">
        <v>5</v>
      </c>
      <c r="D3" s="32"/>
      <c r="E3" s="33"/>
      <c r="F3" s="28" t="s">
        <v>6</v>
      </c>
      <c r="G3" s="1" t="s">
        <v>4</v>
      </c>
      <c r="H3" s="31" t="s">
        <v>5</v>
      </c>
      <c r="I3" s="32"/>
      <c r="J3" s="33"/>
      <c r="K3" s="28" t="s">
        <v>6</v>
      </c>
    </row>
    <row r="4" spans="1:13" ht="15" thickBot="1">
      <c r="A4" s="29"/>
      <c r="B4" s="1" t="s">
        <v>7</v>
      </c>
      <c r="C4" s="1" t="s">
        <v>8</v>
      </c>
      <c r="D4" s="1" t="s">
        <v>9</v>
      </c>
      <c r="E4" s="1" t="s">
        <v>10</v>
      </c>
      <c r="F4" s="30"/>
      <c r="G4" s="1" t="s">
        <v>7</v>
      </c>
      <c r="H4" s="1" t="s">
        <v>8</v>
      </c>
      <c r="I4" s="1" t="s">
        <v>9</v>
      </c>
      <c r="J4" s="1" t="s">
        <v>10</v>
      </c>
      <c r="K4" s="30"/>
    </row>
    <row r="5" spans="1:13" ht="15" thickBot="1">
      <c r="A5" s="30"/>
      <c r="B5" s="34" t="s">
        <v>11</v>
      </c>
      <c r="C5" s="35"/>
      <c r="D5" s="35"/>
      <c r="E5" s="35"/>
      <c r="F5" s="36"/>
      <c r="G5" s="34" t="s">
        <v>12</v>
      </c>
      <c r="H5" s="35"/>
      <c r="I5" s="35"/>
      <c r="J5" s="35"/>
      <c r="K5" s="36"/>
    </row>
    <row r="6" spans="1:13" ht="15" thickBot="1">
      <c r="A6" s="2" t="s">
        <v>13</v>
      </c>
      <c r="B6" s="3">
        <v>11.95</v>
      </c>
      <c r="C6" s="3">
        <v>11.95</v>
      </c>
      <c r="D6" s="3">
        <v>3.32</v>
      </c>
      <c r="E6" s="3">
        <v>2.93</v>
      </c>
      <c r="F6" s="3">
        <v>3.44</v>
      </c>
      <c r="G6" s="3">
        <v>18.399999999999999</v>
      </c>
      <c r="H6" s="3">
        <v>3.3</v>
      </c>
      <c r="I6" s="3">
        <v>431.2</v>
      </c>
      <c r="J6" s="3">
        <v>1.3</v>
      </c>
      <c r="K6" s="3">
        <v>454.2</v>
      </c>
    </row>
    <row r="7" spans="1:13" ht="15" thickBot="1">
      <c r="A7" s="2" t="s">
        <v>14</v>
      </c>
      <c r="B7" s="4">
        <v>16.07</v>
      </c>
      <c r="C7" s="4">
        <v>5.7</v>
      </c>
      <c r="D7" s="4">
        <v>1.52</v>
      </c>
      <c r="E7" s="4" t="s">
        <v>15</v>
      </c>
      <c r="F7" s="4">
        <v>11.53</v>
      </c>
      <c r="G7" s="4">
        <v>16.3</v>
      </c>
      <c r="H7" s="4">
        <v>3.3</v>
      </c>
      <c r="I7" s="4">
        <v>0.2</v>
      </c>
      <c r="J7" s="4" t="s">
        <v>15</v>
      </c>
      <c r="K7" s="4">
        <v>19.8</v>
      </c>
    </row>
    <row r="8" spans="1:13" ht="15" thickBot="1">
      <c r="A8" s="2" t="s">
        <v>16</v>
      </c>
      <c r="B8" s="4">
        <v>16.07</v>
      </c>
      <c r="C8" s="4">
        <v>16.07</v>
      </c>
      <c r="D8" s="4">
        <v>3.01</v>
      </c>
      <c r="E8" s="4">
        <v>2.93</v>
      </c>
      <c r="F8" s="4">
        <v>7.29</v>
      </c>
      <c r="G8" s="4">
        <v>27</v>
      </c>
      <c r="H8" s="4">
        <v>4.9000000000000004</v>
      </c>
      <c r="I8" s="4">
        <v>1.4</v>
      </c>
      <c r="J8" s="4">
        <v>10.3</v>
      </c>
      <c r="K8" s="4">
        <v>43.6</v>
      </c>
    </row>
    <row r="9" spans="1:13" ht="15" thickBot="1">
      <c r="A9" s="2" t="s">
        <v>17</v>
      </c>
      <c r="B9" s="4">
        <v>11.95</v>
      </c>
      <c r="C9" s="4">
        <v>11.84</v>
      </c>
      <c r="D9" s="4">
        <v>3.26</v>
      </c>
      <c r="E9" s="4">
        <v>2.93</v>
      </c>
      <c r="F9" s="4">
        <v>3.93</v>
      </c>
      <c r="G9" s="4">
        <v>30.2</v>
      </c>
      <c r="H9" s="4">
        <v>5.4</v>
      </c>
      <c r="I9" s="4">
        <v>114.8</v>
      </c>
      <c r="J9" s="4">
        <v>0.9</v>
      </c>
      <c r="K9" s="4">
        <v>151.4</v>
      </c>
    </row>
    <row r="10" spans="1:13" ht="15" thickBot="1">
      <c r="A10" s="2" t="s">
        <v>18</v>
      </c>
      <c r="B10" s="4">
        <v>16.07</v>
      </c>
      <c r="C10" s="4">
        <v>3.23</v>
      </c>
      <c r="D10" s="4">
        <v>3.15</v>
      </c>
      <c r="E10" s="4">
        <v>2.93</v>
      </c>
      <c r="F10" s="4">
        <v>4.2</v>
      </c>
      <c r="G10" s="4">
        <v>137.1</v>
      </c>
      <c r="H10" s="4">
        <v>33.6</v>
      </c>
      <c r="I10" s="4">
        <v>68.2</v>
      </c>
      <c r="J10" s="4">
        <v>158</v>
      </c>
      <c r="K10" s="4">
        <v>396.9</v>
      </c>
    </row>
    <row r="11" spans="1:13" ht="15" thickBot="1">
      <c r="A11" s="2" t="s">
        <v>19</v>
      </c>
      <c r="B11" s="4">
        <v>16.07</v>
      </c>
      <c r="C11" s="4">
        <v>16.07</v>
      </c>
      <c r="D11" s="4">
        <v>3.05</v>
      </c>
      <c r="E11" s="4">
        <v>2.93</v>
      </c>
      <c r="F11" s="4">
        <v>10.09</v>
      </c>
      <c r="G11" s="4">
        <v>38.1</v>
      </c>
      <c r="H11" s="4">
        <v>6.9</v>
      </c>
      <c r="I11" s="4">
        <v>1</v>
      </c>
      <c r="J11" s="4">
        <v>5.9</v>
      </c>
      <c r="K11" s="4">
        <v>51.9</v>
      </c>
    </row>
    <row r="12" spans="1:13" ht="15" thickBot="1">
      <c r="A12" s="2" t="s">
        <v>20</v>
      </c>
      <c r="B12" s="4">
        <v>9.58</v>
      </c>
      <c r="C12" s="4">
        <v>9.58</v>
      </c>
      <c r="D12" s="4">
        <v>2.73</v>
      </c>
      <c r="E12" s="4">
        <v>2.93</v>
      </c>
      <c r="F12" s="4">
        <v>5.44</v>
      </c>
      <c r="G12" s="4">
        <v>49.8</v>
      </c>
      <c r="H12" s="4">
        <v>9</v>
      </c>
      <c r="I12" s="4">
        <v>1.6</v>
      </c>
      <c r="J12" s="4">
        <v>27.7</v>
      </c>
      <c r="K12" s="4">
        <v>88.1</v>
      </c>
    </row>
    <row r="13" spans="1:13" ht="15" thickBot="1">
      <c r="A13" s="2" t="s">
        <v>21</v>
      </c>
      <c r="B13" s="4">
        <v>11.95</v>
      </c>
      <c r="C13" s="4">
        <v>11.95</v>
      </c>
      <c r="D13" s="4">
        <v>1.17</v>
      </c>
      <c r="E13" s="4">
        <v>2.93</v>
      </c>
      <c r="F13" s="4">
        <v>4.99</v>
      </c>
      <c r="G13" s="4">
        <v>3.2</v>
      </c>
      <c r="H13" s="4">
        <v>0.6</v>
      </c>
      <c r="I13" s="4">
        <v>0.3</v>
      </c>
      <c r="J13" s="4">
        <v>1.7</v>
      </c>
      <c r="K13" s="4">
        <v>5.8</v>
      </c>
    </row>
    <row r="14" spans="1:13" ht="15" thickBot="1">
      <c r="A14" s="2" t="s">
        <v>22</v>
      </c>
      <c r="B14" s="4" t="s">
        <v>15</v>
      </c>
      <c r="C14" s="4">
        <v>1.01</v>
      </c>
      <c r="D14" s="7"/>
      <c r="E14" s="4" t="s">
        <v>15</v>
      </c>
      <c r="F14" s="4">
        <v>1.01</v>
      </c>
      <c r="G14" s="4" t="s">
        <v>15</v>
      </c>
      <c r="H14" s="4">
        <v>1</v>
      </c>
      <c r="I14" s="4" t="s">
        <v>15</v>
      </c>
      <c r="J14" s="4" t="s">
        <v>15</v>
      </c>
      <c r="K14" s="4">
        <v>1</v>
      </c>
    </row>
    <row r="15" spans="1:13" ht="15" thickBot="1">
      <c r="A15" s="2" t="s">
        <v>23</v>
      </c>
      <c r="B15" s="4">
        <v>11.95</v>
      </c>
      <c r="C15" s="4">
        <v>1.03</v>
      </c>
      <c r="D15" s="4">
        <v>2.57</v>
      </c>
      <c r="E15" s="4">
        <v>2.62</v>
      </c>
      <c r="F15" s="4">
        <v>2.44</v>
      </c>
      <c r="G15" s="4">
        <v>1.1000000000000001</v>
      </c>
      <c r="H15" s="4">
        <v>9.5</v>
      </c>
      <c r="I15" s="4">
        <v>139.1</v>
      </c>
      <c r="J15" s="4">
        <v>80</v>
      </c>
      <c r="K15" s="4">
        <v>229.6</v>
      </c>
    </row>
    <row r="16" spans="1:13" ht="15" thickBot="1">
      <c r="A16" s="2" t="s">
        <v>24</v>
      </c>
      <c r="B16" s="4">
        <v>11.95</v>
      </c>
      <c r="C16" s="4">
        <v>11.95</v>
      </c>
      <c r="D16" s="4">
        <v>3.3</v>
      </c>
      <c r="E16" s="4">
        <v>2.93</v>
      </c>
      <c r="F16" s="4">
        <v>3.36</v>
      </c>
      <c r="G16" s="4">
        <v>23.3</v>
      </c>
      <c r="H16" s="4">
        <v>4.2</v>
      </c>
      <c r="I16" s="4">
        <v>501.7</v>
      </c>
      <c r="J16" s="4">
        <v>78.599999999999994</v>
      </c>
      <c r="K16" s="4">
        <v>607.70000000000005</v>
      </c>
    </row>
    <row r="17" spans="1:11" ht="15" thickBot="1">
      <c r="A17" s="2" t="s">
        <v>25</v>
      </c>
      <c r="B17" s="4">
        <v>16.07</v>
      </c>
      <c r="C17" s="4">
        <v>1.02</v>
      </c>
      <c r="D17" s="4">
        <v>2.98</v>
      </c>
      <c r="E17" s="4">
        <v>2.93</v>
      </c>
      <c r="F17" s="4">
        <v>1.74</v>
      </c>
      <c r="G17" s="4">
        <v>0.1</v>
      </c>
      <c r="H17" s="4">
        <v>2.9</v>
      </c>
      <c r="I17" s="4">
        <v>0.1</v>
      </c>
      <c r="J17" s="4">
        <v>4.8</v>
      </c>
      <c r="K17" s="4">
        <v>8</v>
      </c>
    </row>
    <row r="18" spans="1:11" ht="15" thickBot="1">
      <c r="A18" s="2" t="s">
        <v>26</v>
      </c>
      <c r="B18" s="4">
        <v>16.07</v>
      </c>
      <c r="C18" s="4">
        <v>9.34</v>
      </c>
      <c r="D18" s="4">
        <v>3.31</v>
      </c>
      <c r="E18" s="4">
        <v>2.93</v>
      </c>
      <c r="F18" s="4">
        <v>4.92</v>
      </c>
      <c r="G18" s="4">
        <v>38</v>
      </c>
      <c r="H18" s="4">
        <v>7.2</v>
      </c>
      <c r="I18" s="4">
        <v>55.4</v>
      </c>
      <c r="J18" s="4">
        <v>4</v>
      </c>
      <c r="K18" s="4">
        <v>104.6</v>
      </c>
    </row>
    <row r="19" spans="1:11" ht="15" thickBot="1">
      <c r="A19" s="2" t="s">
        <v>27</v>
      </c>
      <c r="B19" s="4">
        <v>12.07</v>
      </c>
      <c r="C19" s="4">
        <v>12.07</v>
      </c>
      <c r="D19" s="4">
        <v>2.3199999999999998</v>
      </c>
      <c r="E19" s="4">
        <v>0.71</v>
      </c>
      <c r="F19" s="4">
        <v>5.12</v>
      </c>
      <c r="G19" s="4">
        <v>36.200000000000003</v>
      </c>
      <c r="H19" s="4">
        <v>6.5</v>
      </c>
      <c r="I19" s="4">
        <v>6.1</v>
      </c>
      <c r="J19" s="4">
        <v>2.8</v>
      </c>
      <c r="K19" s="4">
        <v>51.5</v>
      </c>
    </row>
    <row r="20" spans="1:11" ht="15" thickBot="1">
      <c r="A20" s="2" t="s">
        <v>28</v>
      </c>
      <c r="B20" s="4">
        <v>12.07</v>
      </c>
      <c r="C20" s="4">
        <v>2.27</v>
      </c>
      <c r="D20" s="4">
        <v>2.61</v>
      </c>
      <c r="E20" s="4">
        <v>0.6</v>
      </c>
      <c r="F20" s="4">
        <v>3.73</v>
      </c>
      <c r="G20" s="4">
        <v>29.5</v>
      </c>
      <c r="H20" s="4">
        <v>8.6999999999999993</v>
      </c>
      <c r="I20" s="4">
        <v>15.9</v>
      </c>
      <c r="J20" s="4">
        <v>1.5</v>
      </c>
      <c r="K20" s="4">
        <v>55.6</v>
      </c>
    </row>
    <row r="21" spans="1:11" ht="15" thickBot="1">
      <c r="A21" s="2" t="s">
        <v>29</v>
      </c>
      <c r="B21" s="4">
        <v>12.07</v>
      </c>
      <c r="C21" s="4">
        <v>5.56</v>
      </c>
      <c r="D21" s="4">
        <v>2.65</v>
      </c>
      <c r="E21" s="4">
        <v>2.93</v>
      </c>
      <c r="F21" s="4">
        <v>4.42</v>
      </c>
      <c r="G21" s="4">
        <v>18.3</v>
      </c>
      <c r="H21" s="4">
        <v>4.9000000000000004</v>
      </c>
      <c r="I21" s="4">
        <v>15.3</v>
      </c>
      <c r="J21" s="4">
        <v>4.5</v>
      </c>
      <c r="K21" s="4">
        <v>42.9</v>
      </c>
    </row>
    <row r="22" spans="1:11" ht="15" thickBot="1">
      <c r="A22" s="2" t="s">
        <v>30</v>
      </c>
      <c r="B22" s="4">
        <v>12.07</v>
      </c>
      <c r="C22" s="4">
        <v>12.07</v>
      </c>
      <c r="D22" s="4">
        <v>1.21</v>
      </c>
      <c r="E22" s="4">
        <v>2.93</v>
      </c>
      <c r="F22" s="4">
        <v>5.64</v>
      </c>
      <c r="G22" s="4">
        <v>10</v>
      </c>
      <c r="H22" s="4">
        <v>1.8</v>
      </c>
      <c r="I22" s="4">
        <v>1.1000000000000001</v>
      </c>
      <c r="J22" s="4">
        <v>2.2000000000000002</v>
      </c>
      <c r="K22" s="4">
        <v>15.1</v>
      </c>
    </row>
    <row r="23" spans="1:11" ht="15" thickBot="1">
      <c r="A23" s="2" t="s">
        <v>31</v>
      </c>
      <c r="B23" s="4">
        <v>11.95</v>
      </c>
      <c r="C23" s="4">
        <v>11.95</v>
      </c>
      <c r="D23" s="4">
        <v>3.05</v>
      </c>
      <c r="E23" s="4">
        <v>0.86</v>
      </c>
      <c r="F23" s="4">
        <v>3.84</v>
      </c>
      <c r="G23" s="4">
        <v>21.5</v>
      </c>
      <c r="H23" s="4">
        <v>3.9</v>
      </c>
      <c r="I23" s="4">
        <v>53.4</v>
      </c>
      <c r="J23" s="4">
        <v>1</v>
      </c>
      <c r="K23" s="4">
        <v>79.7</v>
      </c>
    </row>
    <row r="24" spans="1:11" ht="15" thickBot="1">
      <c r="A24" s="2" t="s">
        <v>32</v>
      </c>
      <c r="B24" s="4">
        <v>11.95</v>
      </c>
      <c r="C24" s="4">
        <v>11.95</v>
      </c>
      <c r="D24" s="4">
        <v>3.15</v>
      </c>
      <c r="E24" s="4">
        <v>2.93</v>
      </c>
      <c r="F24" s="4">
        <v>3.16</v>
      </c>
      <c r="G24" s="4">
        <v>1.9</v>
      </c>
      <c r="H24" s="4">
        <v>0.3</v>
      </c>
      <c r="I24" s="4">
        <v>269.2</v>
      </c>
      <c r="J24" s="4">
        <v>4.0999999999999996</v>
      </c>
      <c r="K24" s="4">
        <v>275.5</v>
      </c>
    </row>
    <row r="25" spans="1:11" ht="15" thickBot="1">
      <c r="A25" s="2" t="s">
        <v>33</v>
      </c>
      <c r="B25" s="4">
        <v>9.58</v>
      </c>
      <c r="C25" s="4">
        <v>7.29</v>
      </c>
      <c r="D25" s="4">
        <v>3.28</v>
      </c>
      <c r="E25" s="4">
        <v>2.93</v>
      </c>
      <c r="F25" s="4">
        <v>4.03</v>
      </c>
      <c r="G25" s="4">
        <v>53.4</v>
      </c>
      <c r="H25" s="4">
        <v>10</v>
      </c>
      <c r="I25" s="4">
        <v>75.3</v>
      </c>
      <c r="J25" s="4">
        <v>47.8</v>
      </c>
      <c r="K25" s="4">
        <v>186.4</v>
      </c>
    </row>
    <row r="26" spans="1:11" ht="15" thickBot="1">
      <c r="A26" s="2" t="s">
        <v>34</v>
      </c>
      <c r="B26" s="4">
        <v>11.95</v>
      </c>
      <c r="C26" s="4">
        <v>8.75</v>
      </c>
      <c r="D26" s="4">
        <v>2.65</v>
      </c>
      <c r="E26" s="4">
        <v>2.93</v>
      </c>
      <c r="F26" s="4">
        <v>5.49</v>
      </c>
      <c r="G26" s="4">
        <v>26.2</v>
      </c>
      <c r="H26" s="4">
        <v>5.5</v>
      </c>
      <c r="I26" s="4">
        <v>1.1000000000000001</v>
      </c>
      <c r="J26" s="4">
        <v>17.2</v>
      </c>
      <c r="K26" s="4">
        <v>50</v>
      </c>
    </row>
    <row r="27" spans="1:11" ht="15" thickBot="1">
      <c r="A27" s="2" t="s">
        <v>35</v>
      </c>
      <c r="B27" s="4">
        <v>9.58</v>
      </c>
      <c r="C27" s="4">
        <v>2.0499999999999998</v>
      </c>
      <c r="D27" s="4">
        <v>2.44</v>
      </c>
      <c r="E27" s="4">
        <v>2.93</v>
      </c>
      <c r="F27" s="4">
        <v>4.26</v>
      </c>
      <c r="G27" s="4">
        <v>60.7</v>
      </c>
      <c r="H27" s="4">
        <v>19.2</v>
      </c>
      <c r="I27" s="4">
        <v>2.7</v>
      </c>
      <c r="J27" s="4">
        <v>23.9</v>
      </c>
      <c r="K27" s="4">
        <v>106.6</v>
      </c>
    </row>
    <row r="28" spans="1:11" ht="15" thickBot="1">
      <c r="A28" s="2" t="s">
        <v>36</v>
      </c>
      <c r="B28" s="4">
        <v>12.07</v>
      </c>
      <c r="C28" s="4">
        <v>8.16</v>
      </c>
      <c r="D28" s="4">
        <v>2.96</v>
      </c>
      <c r="E28" s="4">
        <v>2.93</v>
      </c>
      <c r="F28" s="4">
        <v>4.53</v>
      </c>
      <c r="G28" s="4">
        <v>108.3</v>
      </c>
      <c r="H28" s="4">
        <v>20.399999999999999</v>
      </c>
      <c r="I28" s="4">
        <v>80.3</v>
      </c>
      <c r="J28" s="4">
        <v>62</v>
      </c>
      <c r="K28" s="4">
        <v>271</v>
      </c>
    </row>
    <row r="29" spans="1:11" ht="15" thickBot="1">
      <c r="A29" s="2" t="s">
        <v>37</v>
      </c>
      <c r="B29" s="4">
        <v>12.07</v>
      </c>
      <c r="C29" s="4">
        <v>5.62</v>
      </c>
      <c r="D29" s="4">
        <v>3.27</v>
      </c>
      <c r="E29" s="4">
        <v>1.04</v>
      </c>
      <c r="F29" s="4">
        <v>4.0999999999999996</v>
      </c>
      <c r="G29" s="4">
        <v>57.6</v>
      </c>
      <c r="H29" s="4">
        <v>15.1</v>
      </c>
      <c r="I29" s="4">
        <v>69.2</v>
      </c>
      <c r="J29" s="4">
        <v>8.3000000000000007</v>
      </c>
      <c r="K29" s="4">
        <v>150.30000000000001</v>
      </c>
    </row>
    <row r="30" spans="1:11" ht="15" thickBot="1">
      <c r="A30" s="2" t="s">
        <v>38</v>
      </c>
      <c r="B30" s="4">
        <v>11.95</v>
      </c>
      <c r="C30" s="4">
        <v>11.95</v>
      </c>
      <c r="D30" s="4">
        <v>3.29</v>
      </c>
      <c r="E30" s="4">
        <v>2.93</v>
      </c>
      <c r="F30" s="4">
        <v>3.37</v>
      </c>
      <c r="G30" s="4">
        <v>4.3</v>
      </c>
      <c r="H30" s="4">
        <v>0.8</v>
      </c>
      <c r="I30" s="4">
        <v>139.9</v>
      </c>
      <c r="J30" s="4">
        <v>0.2</v>
      </c>
      <c r="K30" s="4">
        <v>145.30000000000001</v>
      </c>
    </row>
    <row r="31" spans="1:11" ht="15" thickBot="1">
      <c r="A31" s="2" t="s">
        <v>39</v>
      </c>
      <c r="B31" s="4">
        <v>12.07</v>
      </c>
      <c r="C31" s="4">
        <v>6.11</v>
      </c>
      <c r="D31" s="4">
        <v>2.72</v>
      </c>
      <c r="E31" s="4" t="s">
        <v>15</v>
      </c>
      <c r="F31" s="4">
        <v>7.73</v>
      </c>
      <c r="G31" s="4">
        <v>32.299999999999997</v>
      </c>
      <c r="H31" s="4">
        <v>9.1999999999999993</v>
      </c>
      <c r="I31" s="4">
        <v>2</v>
      </c>
      <c r="J31" s="4" t="s">
        <v>15</v>
      </c>
      <c r="K31" s="4">
        <v>43.5</v>
      </c>
    </row>
    <row r="32" spans="1:11" ht="15" thickBot="1">
      <c r="A32" s="2" t="s">
        <v>40</v>
      </c>
      <c r="B32" s="4">
        <v>16.07</v>
      </c>
      <c r="C32" s="4">
        <v>16.07</v>
      </c>
      <c r="D32" s="4">
        <v>2.8</v>
      </c>
      <c r="E32" s="4">
        <v>2.93</v>
      </c>
      <c r="F32" s="4">
        <v>12.07</v>
      </c>
      <c r="G32" s="4">
        <v>34.200000000000003</v>
      </c>
      <c r="H32" s="4">
        <v>6.1</v>
      </c>
      <c r="I32" s="4">
        <v>2.8</v>
      </c>
      <c r="J32" s="4">
        <v>0.2</v>
      </c>
      <c r="K32" s="4">
        <v>43.4</v>
      </c>
    </row>
    <row r="33" spans="1:11" ht="15" thickBot="1">
      <c r="A33" s="2" t="s">
        <v>41</v>
      </c>
      <c r="B33" s="4">
        <v>12.07</v>
      </c>
      <c r="C33" s="4">
        <v>4.5599999999999996</v>
      </c>
      <c r="D33" s="4">
        <v>1.33</v>
      </c>
      <c r="E33" s="4">
        <v>2.93</v>
      </c>
      <c r="F33" s="4">
        <v>4.79</v>
      </c>
      <c r="G33" s="4">
        <v>7.3</v>
      </c>
      <c r="H33" s="4">
        <v>1.5</v>
      </c>
      <c r="I33" s="4">
        <v>1</v>
      </c>
      <c r="J33" s="4">
        <v>2.6</v>
      </c>
      <c r="K33" s="4">
        <v>12.4</v>
      </c>
    </row>
    <row r="34" spans="1:11" ht="15" thickBot="1">
      <c r="A34" s="2" t="s">
        <v>42</v>
      </c>
      <c r="B34" s="4">
        <v>16.07</v>
      </c>
      <c r="C34" s="4">
        <v>16.07</v>
      </c>
      <c r="D34" s="4">
        <v>3.01</v>
      </c>
      <c r="E34" s="4">
        <v>2.93</v>
      </c>
      <c r="F34" s="4">
        <v>10.220000000000001</v>
      </c>
      <c r="G34" s="4">
        <v>14.1</v>
      </c>
      <c r="H34" s="4">
        <v>2.5</v>
      </c>
      <c r="I34" s="4">
        <v>0.3</v>
      </c>
      <c r="J34" s="4">
        <v>2.1</v>
      </c>
      <c r="K34" s="4">
        <v>19.100000000000001</v>
      </c>
    </row>
    <row r="35" spans="1:11" ht="15" thickBot="1">
      <c r="A35" s="2" t="s">
        <v>43</v>
      </c>
      <c r="B35" s="4">
        <v>9.58</v>
      </c>
      <c r="C35" s="4">
        <v>6.58</v>
      </c>
      <c r="D35" s="4">
        <v>1.68</v>
      </c>
      <c r="E35" s="4">
        <v>2.93</v>
      </c>
      <c r="F35" s="4">
        <v>4.96</v>
      </c>
      <c r="G35" s="4">
        <v>50</v>
      </c>
      <c r="H35" s="4">
        <v>9.5</v>
      </c>
      <c r="I35" s="4">
        <v>2</v>
      </c>
      <c r="J35" s="4">
        <v>32.4</v>
      </c>
      <c r="K35" s="4">
        <v>93.9</v>
      </c>
    </row>
    <row r="36" spans="1:11" ht="15" thickBot="1">
      <c r="A36" s="2" t="s">
        <v>44</v>
      </c>
      <c r="B36" s="4">
        <v>9.58</v>
      </c>
      <c r="C36" s="4">
        <v>1.88</v>
      </c>
      <c r="D36" s="4">
        <v>2.2000000000000002</v>
      </c>
      <c r="E36" s="4">
        <v>2.93</v>
      </c>
      <c r="F36" s="4">
        <v>4.0999999999999996</v>
      </c>
      <c r="G36" s="4">
        <v>41</v>
      </c>
      <c r="H36" s="4">
        <v>14.2</v>
      </c>
      <c r="I36" s="4">
        <v>0.9</v>
      </c>
      <c r="J36" s="4">
        <v>14.7</v>
      </c>
      <c r="K36" s="4">
        <v>70.8</v>
      </c>
    </row>
    <row r="37" spans="1:11" ht="15" thickBot="1">
      <c r="A37" s="2" t="s">
        <v>45</v>
      </c>
      <c r="B37" s="4">
        <v>16.07</v>
      </c>
      <c r="C37" s="4">
        <v>16.07</v>
      </c>
      <c r="D37" s="4">
        <v>3.45</v>
      </c>
      <c r="E37" s="4">
        <v>2.93</v>
      </c>
      <c r="F37" s="4">
        <v>15.41</v>
      </c>
      <c r="G37" s="4">
        <v>37.5</v>
      </c>
      <c r="H37" s="4">
        <v>6.7</v>
      </c>
      <c r="I37" s="4" t="s">
        <v>46</v>
      </c>
      <c r="J37" s="4">
        <v>0.4</v>
      </c>
      <c r="K37" s="4">
        <v>44.7</v>
      </c>
    </row>
    <row r="38" spans="1:11" ht="15" thickBot="1">
      <c r="A38" s="2" t="s">
        <v>47</v>
      </c>
      <c r="B38" s="4">
        <v>9.58</v>
      </c>
      <c r="C38" s="4">
        <v>2.2599999999999998</v>
      </c>
      <c r="D38" s="4">
        <v>2.75</v>
      </c>
      <c r="E38" s="4">
        <v>2.93</v>
      </c>
      <c r="F38" s="4">
        <v>4.37</v>
      </c>
      <c r="G38" s="4">
        <v>129.5</v>
      </c>
      <c r="H38" s="4">
        <v>37.700000000000003</v>
      </c>
      <c r="I38" s="4">
        <v>30.5</v>
      </c>
      <c r="J38" s="4">
        <v>34.9</v>
      </c>
      <c r="K38" s="4">
        <v>232.6</v>
      </c>
    </row>
    <row r="39" spans="1:11" ht="15" thickBot="1">
      <c r="A39" s="2" t="s">
        <v>48</v>
      </c>
      <c r="B39" s="4">
        <v>11.95</v>
      </c>
      <c r="C39" s="4">
        <v>11.95</v>
      </c>
      <c r="D39" s="4">
        <v>3.29</v>
      </c>
      <c r="E39" s="4">
        <v>2.93</v>
      </c>
      <c r="F39" s="4">
        <v>3.65</v>
      </c>
      <c r="G39" s="4">
        <v>32.4</v>
      </c>
      <c r="H39" s="4">
        <v>5.8</v>
      </c>
      <c r="I39" s="4">
        <v>177.4</v>
      </c>
      <c r="J39" s="4">
        <v>28.6</v>
      </c>
      <c r="K39" s="4">
        <v>244.2</v>
      </c>
    </row>
    <row r="40" spans="1:11" ht="15" thickBot="1">
      <c r="A40" s="2" t="s">
        <v>49</v>
      </c>
      <c r="B40" s="4">
        <v>12.07</v>
      </c>
      <c r="C40" s="4">
        <v>12.07</v>
      </c>
      <c r="D40" s="4">
        <v>2.5299999999999998</v>
      </c>
      <c r="E40" s="4" t="s">
        <v>15</v>
      </c>
      <c r="F40" s="4">
        <v>8.0299999999999994</v>
      </c>
      <c r="G40" s="4">
        <v>1.4</v>
      </c>
      <c r="H40" s="4">
        <v>0.3</v>
      </c>
      <c r="I40" s="4">
        <v>0.3</v>
      </c>
      <c r="J40" s="4" t="s">
        <v>15</v>
      </c>
      <c r="K40" s="4">
        <v>1.9</v>
      </c>
    </row>
    <row r="41" spans="1:11" ht="15" thickBot="1">
      <c r="A41" s="2" t="s">
        <v>50</v>
      </c>
      <c r="B41" s="4">
        <v>12.07</v>
      </c>
      <c r="C41" s="4">
        <v>11.51</v>
      </c>
      <c r="D41" s="4">
        <v>2.31</v>
      </c>
      <c r="E41" s="4">
        <v>2.93</v>
      </c>
      <c r="F41" s="4">
        <v>5.83</v>
      </c>
      <c r="G41" s="4">
        <v>93.9</v>
      </c>
      <c r="H41" s="4">
        <v>16.899999999999999</v>
      </c>
      <c r="I41" s="4">
        <v>33.200000000000003</v>
      </c>
      <c r="J41" s="4">
        <v>6.2</v>
      </c>
      <c r="K41" s="4">
        <v>150.30000000000001</v>
      </c>
    </row>
    <row r="42" spans="1:11" ht="15" thickBot="1">
      <c r="A42" s="2" t="s">
        <v>51</v>
      </c>
      <c r="B42" s="4">
        <v>11.95</v>
      </c>
      <c r="C42" s="4">
        <v>4.18</v>
      </c>
      <c r="D42" s="4">
        <v>2.64</v>
      </c>
      <c r="E42" s="4">
        <v>2.93</v>
      </c>
      <c r="F42" s="4">
        <v>3.88</v>
      </c>
      <c r="G42" s="4">
        <v>29</v>
      </c>
      <c r="H42" s="4">
        <v>6.3</v>
      </c>
      <c r="I42" s="4">
        <v>42.2</v>
      </c>
      <c r="J42" s="4">
        <v>0.5</v>
      </c>
      <c r="K42" s="4">
        <v>78</v>
      </c>
    </row>
    <row r="43" spans="1:11" ht="15" thickBot="1">
      <c r="A43" s="2" t="s">
        <v>52</v>
      </c>
      <c r="B43" s="4">
        <v>16.07</v>
      </c>
      <c r="C43" s="4">
        <v>11.84</v>
      </c>
      <c r="D43" s="4">
        <v>3.18</v>
      </c>
      <c r="E43" s="4">
        <v>2.93</v>
      </c>
      <c r="F43" s="4">
        <v>5.2</v>
      </c>
      <c r="G43" s="4">
        <v>84.5</v>
      </c>
      <c r="H43" s="4">
        <v>15.6</v>
      </c>
      <c r="I43" s="4">
        <v>84</v>
      </c>
      <c r="J43" s="4">
        <v>16</v>
      </c>
      <c r="K43" s="4">
        <v>200</v>
      </c>
    </row>
    <row r="44" spans="1:11" ht="15" thickBot="1">
      <c r="A44" s="2" t="s">
        <v>53</v>
      </c>
      <c r="B44" s="4">
        <v>9.58</v>
      </c>
      <c r="C44" s="4">
        <v>4.8899999999999997</v>
      </c>
      <c r="D44" s="4">
        <v>2.2400000000000002</v>
      </c>
      <c r="E44" s="4">
        <v>2.93</v>
      </c>
      <c r="F44" s="4">
        <v>4.51</v>
      </c>
      <c r="G44" s="4">
        <v>166.1</v>
      </c>
      <c r="H44" s="4">
        <v>33.700000000000003</v>
      </c>
      <c r="I44" s="4">
        <v>63.8</v>
      </c>
      <c r="J44" s="4">
        <v>48.4</v>
      </c>
      <c r="K44" s="4">
        <v>311.89999999999998</v>
      </c>
    </row>
    <row r="45" spans="1:11" ht="15" thickBot="1">
      <c r="A45" s="2" t="s">
        <v>54</v>
      </c>
      <c r="B45" s="4">
        <v>9.58</v>
      </c>
      <c r="C45" s="4">
        <v>9.58</v>
      </c>
      <c r="D45" s="4">
        <v>2.59</v>
      </c>
      <c r="E45" s="4">
        <v>2.93</v>
      </c>
      <c r="F45" s="4">
        <v>5.07</v>
      </c>
      <c r="G45" s="4">
        <v>10.1</v>
      </c>
      <c r="H45" s="4">
        <v>1.8</v>
      </c>
      <c r="I45" s="4">
        <v>0.4</v>
      </c>
      <c r="J45" s="4">
        <v>7.1</v>
      </c>
      <c r="K45" s="4">
        <v>19.5</v>
      </c>
    </row>
    <row r="46" spans="1:11" ht="15" thickBot="1">
      <c r="A46" s="2" t="s">
        <v>55</v>
      </c>
      <c r="B46" s="4">
        <v>11.95</v>
      </c>
      <c r="C46" s="4">
        <v>11.95</v>
      </c>
      <c r="D46" s="4">
        <v>3.28</v>
      </c>
      <c r="E46" s="4">
        <v>0.85</v>
      </c>
      <c r="F46" s="4">
        <v>2.95</v>
      </c>
      <c r="G46" s="4">
        <v>4.3</v>
      </c>
      <c r="H46" s="4">
        <v>0.8</v>
      </c>
      <c r="I46" s="4">
        <v>209.7</v>
      </c>
      <c r="J46" s="4">
        <v>10.3</v>
      </c>
      <c r="K46" s="4">
        <v>225.1</v>
      </c>
    </row>
    <row r="47" spans="1:11" ht="15" thickBot="1">
      <c r="A47" s="2" t="s">
        <v>56</v>
      </c>
      <c r="B47" s="4">
        <v>12.07</v>
      </c>
      <c r="C47" s="4">
        <v>12.07</v>
      </c>
      <c r="D47" s="4">
        <v>3.23</v>
      </c>
      <c r="E47" s="4" t="s">
        <v>15</v>
      </c>
      <c r="F47" s="4">
        <v>6.44</v>
      </c>
      <c r="G47" s="4">
        <v>6.5</v>
      </c>
      <c r="H47" s="4">
        <v>1.2</v>
      </c>
      <c r="I47" s="4">
        <v>3.6</v>
      </c>
      <c r="J47" s="4" t="s">
        <v>15</v>
      </c>
      <c r="K47" s="4">
        <v>11.2</v>
      </c>
    </row>
    <row r="48" spans="1:11" ht="15" thickBot="1">
      <c r="A48" s="2" t="s">
        <v>57</v>
      </c>
      <c r="B48" s="4">
        <v>11.95</v>
      </c>
      <c r="C48" s="4">
        <v>11.95</v>
      </c>
      <c r="D48" s="4">
        <v>3.06</v>
      </c>
      <c r="E48" s="4">
        <v>2.93</v>
      </c>
      <c r="F48" s="4">
        <v>3.75</v>
      </c>
      <c r="G48" s="4">
        <v>22.9</v>
      </c>
      <c r="H48" s="4">
        <v>4.0999999999999996</v>
      </c>
      <c r="I48" s="4">
        <v>81.400000000000006</v>
      </c>
      <c r="J48" s="4">
        <v>1.6</v>
      </c>
      <c r="K48" s="4">
        <v>110</v>
      </c>
    </row>
    <row r="49" spans="1:11" ht="15" thickBot="1">
      <c r="A49" s="2" t="s">
        <v>58</v>
      </c>
      <c r="B49" s="4">
        <v>11.95</v>
      </c>
      <c r="C49" s="4">
        <v>11.95</v>
      </c>
      <c r="D49" s="4">
        <v>2.65</v>
      </c>
      <c r="E49" s="4">
        <v>2.93</v>
      </c>
      <c r="F49" s="4">
        <v>3.09</v>
      </c>
      <c r="G49" s="4">
        <v>33.1</v>
      </c>
      <c r="H49" s="4">
        <v>5.9</v>
      </c>
      <c r="I49" s="4">
        <v>171.6</v>
      </c>
      <c r="J49" s="4">
        <v>18.3</v>
      </c>
      <c r="K49" s="4">
        <v>228.9</v>
      </c>
    </row>
    <row r="50" spans="1:11" ht="15" thickBot="1">
      <c r="A50" s="2" t="s">
        <v>59</v>
      </c>
      <c r="B50" s="4">
        <v>16.07</v>
      </c>
      <c r="C50" s="4">
        <v>9.85</v>
      </c>
      <c r="D50" s="4">
        <v>3.11</v>
      </c>
      <c r="E50" s="4">
        <v>2.93</v>
      </c>
      <c r="F50" s="4">
        <v>10.27</v>
      </c>
      <c r="G50" s="4">
        <v>23.6</v>
      </c>
      <c r="H50" s="4">
        <v>4.4000000000000004</v>
      </c>
      <c r="I50" s="4">
        <v>0.5</v>
      </c>
      <c r="J50" s="4">
        <v>2.9</v>
      </c>
      <c r="K50" s="4">
        <v>31.4</v>
      </c>
    </row>
    <row r="51" spans="1:11" ht="15" thickBot="1">
      <c r="A51" s="2" t="s">
        <v>60</v>
      </c>
      <c r="B51" s="4">
        <v>9.58</v>
      </c>
      <c r="C51" s="4">
        <v>8.2899999999999991</v>
      </c>
      <c r="D51" s="4">
        <v>3.05</v>
      </c>
      <c r="E51" s="4">
        <v>2.93</v>
      </c>
      <c r="F51" s="4">
        <v>5.32</v>
      </c>
      <c r="G51" s="4">
        <v>27.2</v>
      </c>
      <c r="H51" s="4">
        <v>5.3</v>
      </c>
      <c r="I51" s="4">
        <v>0.3</v>
      </c>
      <c r="J51" s="4">
        <v>16.899999999999999</v>
      </c>
      <c r="K51" s="4">
        <v>49.7</v>
      </c>
    </row>
    <row r="52" spans="1:11" ht="15" thickBot="1">
      <c r="A52" s="2" t="s">
        <v>61</v>
      </c>
      <c r="B52" s="4">
        <v>11.95</v>
      </c>
      <c r="C52" s="4">
        <v>2.62</v>
      </c>
      <c r="D52" s="4">
        <v>3.26</v>
      </c>
      <c r="E52" s="4">
        <v>3.72</v>
      </c>
      <c r="F52" s="4">
        <v>4.09</v>
      </c>
      <c r="G52" s="4">
        <v>94.4</v>
      </c>
      <c r="H52" s="4">
        <v>25.3</v>
      </c>
      <c r="I52" s="4">
        <v>147.69999999999999</v>
      </c>
      <c r="J52" s="4">
        <v>102.2</v>
      </c>
      <c r="K52" s="4">
        <v>369.6</v>
      </c>
    </row>
    <row r="53" spans="1:11" ht="15" thickBot="1">
      <c r="A53" s="2" t="s">
        <v>62</v>
      </c>
      <c r="B53" s="4">
        <v>16.07</v>
      </c>
      <c r="C53" s="4">
        <v>14.86</v>
      </c>
      <c r="D53" s="4">
        <v>3.22</v>
      </c>
      <c r="E53" s="4">
        <v>2.68</v>
      </c>
      <c r="F53" s="4">
        <v>4.2699999999999996</v>
      </c>
      <c r="G53" s="4">
        <v>79.5</v>
      </c>
      <c r="H53" s="4">
        <v>14.4</v>
      </c>
      <c r="I53" s="4">
        <v>178.6</v>
      </c>
      <c r="J53" s="4">
        <v>16.7</v>
      </c>
      <c r="K53" s="4">
        <v>289.10000000000002</v>
      </c>
    </row>
    <row r="54" spans="1:11" ht="15" thickBot="1">
      <c r="A54" s="2" t="s">
        <v>63</v>
      </c>
      <c r="B54" s="4">
        <v>11.95</v>
      </c>
      <c r="C54" s="4">
        <v>11.95</v>
      </c>
      <c r="D54" s="4">
        <v>2.5</v>
      </c>
      <c r="E54" s="4">
        <v>2.93</v>
      </c>
      <c r="F54" s="4">
        <v>9.9600000000000009</v>
      </c>
      <c r="G54" s="4">
        <v>23.1</v>
      </c>
      <c r="H54" s="4">
        <v>4.2</v>
      </c>
      <c r="I54" s="4">
        <v>1.4</v>
      </c>
      <c r="J54" s="4">
        <v>0.1</v>
      </c>
      <c r="K54" s="4">
        <v>28.8</v>
      </c>
    </row>
    <row r="55" spans="1:11" ht="15" thickBot="1">
      <c r="A55" s="2" t="s">
        <v>64</v>
      </c>
      <c r="B55" s="4">
        <v>12.07</v>
      </c>
      <c r="C55" s="4">
        <v>8.3800000000000008</v>
      </c>
      <c r="D55" s="4">
        <v>2.96</v>
      </c>
      <c r="E55" s="4">
        <v>2.86</v>
      </c>
      <c r="F55" s="4">
        <v>4.37</v>
      </c>
      <c r="G55" s="4">
        <v>64.3</v>
      </c>
      <c r="H55" s="4">
        <v>12</v>
      </c>
      <c r="I55" s="4">
        <v>52.9</v>
      </c>
      <c r="J55" s="4">
        <v>41</v>
      </c>
      <c r="K55" s="4">
        <v>170.2</v>
      </c>
    </row>
    <row r="56" spans="1:11" ht="15" thickBot="1">
      <c r="A56" s="2" t="s">
        <v>65</v>
      </c>
      <c r="B56" s="4">
        <v>16.07</v>
      </c>
      <c r="C56" s="4">
        <v>16.07</v>
      </c>
      <c r="D56" s="4">
        <v>2.94</v>
      </c>
      <c r="E56" s="4" t="s">
        <v>15</v>
      </c>
      <c r="F56" s="4">
        <v>15.32</v>
      </c>
      <c r="G56" s="4">
        <v>9.5</v>
      </c>
      <c r="H56" s="4">
        <v>1.7</v>
      </c>
      <c r="I56" s="4">
        <v>0.1</v>
      </c>
      <c r="J56" s="4" t="s">
        <v>15</v>
      </c>
      <c r="K56" s="4">
        <v>11.4</v>
      </c>
    </row>
    <row r="57" spans="1:11" ht="15" thickBot="1">
      <c r="A57" s="2" t="s">
        <v>66</v>
      </c>
      <c r="B57" s="4">
        <v>11.93</v>
      </c>
      <c r="C57" s="4">
        <v>4.1500000000000004</v>
      </c>
      <c r="D57" s="4">
        <v>3.1</v>
      </c>
      <c r="E57" s="4">
        <v>2.78</v>
      </c>
      <c r="F57" s="4">
        <v>3.96</v>
      </c>
      <c r="G57" s="5">
        <v>1962.1</v>
      </c>
      <c r="H57" s="4">
        <v>436</v>
      </c>
      <c r="I57" s="5">
        <v>3333.4</v>
      </c>
      <c r="J57" s="4">
        <v>952.7</v>
      </c>
      <c r="K57" s="5">
        <v>6684.2</v>
      </c>
    </row>
  </sheetData>
  <mergeCells count="10">
    <mergeCell ref="A1:K1"/>
    <mergeCell ref="A2:A5"/>
    <mergeCell ref="B2:F2"/>
    <mergeCell ref="G2:K2"/>
    <mergeCell ref="C3:E3"/>
    <mergeCell ref="F3:F4"/>
    <mergeCell ref="H3:J3"/>
    <mergeCell ref="K3:K4"/>
    <mergeCell ref="B5:F5"/>
    <mergeCell ref="G5:K5"/>
  </mergeCells>
  <hyperlinks>
    <hyperlink ref="M2" r:id="rId1" xr:uid="{D18696CB-6603-45BF-B36C-8B70634166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86A9-3666-4D29-8E94-D7153264817B}">
  <dimension ref="A1:I17"/>
  <sheetViews>
    <sheetView workbookViewId="0">
      <selection activeCell="I1" sqref="I1"/>
    </sheetView>
  </sheetViews>
  <sheetFormatPr defaultRowHeight="14.4"/>
  <cols>
    <col min="1" max="1" width="18.44140625" customWidth="1"/>
    <col min="2" max="2" width="15.77734375" customWidth="1"/>
    <col min="3" max="3" width="17" customWidth="1"/>
  </cols>
  <sheetData>
    <row r="1" spans="1:9">
      <c r="A1" t="s">
        <v>155</v>
      </c>
      <c r="B1" t="s">
        <v>156</v>
      </c>
      <c r="C1" t="s">
        <v>157</v>
      </c>
      <c r="D1" t="s">
        <v>158</v>
      </c>
      <c r="E1" t="s">
        <v>176</v>
      </c>
      <c r="F1" t="s">
        <v>178</v>
      </c>
      <c r="H1" t="s">
        <v>179</v>
      </c>
      <c r="I1" s="10" t="s">
        <v>175</v>
      </c>
    </row>
    <row r="2" spans="1:9">
      <c r="A2" t="s">
        <v>159</v>
      </c>
      <c r="B2" t="s">
        <v>172</v>
      </c>
      <c r="C2">
        <v>9.74</v>
      </c>
      <c r="D2">
        <v>1.074E-2</v>
      </c>
      <c r="E2">
        <f>IFERROR((D2*VLOOKUP($I$2,INDICES!$I$13:$J$58,2,0)/VLOOKUP($I$3,INDICES!$I$13:$J$58,2,0)),0)</f>
        <v>1.1301767995029724E-2</v>
      </c>
      <c r="H2" t="s">
        <v>101</v>
      </c>
      <c r="I2">
        <v>2025</v>
      </c>
    </row>
    <row r="3" spans="1:9">
      <c r="A3" t="s">
        <v>160</v>
      </c>
      <c r="B3" t="s">
        <v>161</v>
      </c>
      <c r="C3">
        <v>4.9400000000000004</v>
      </c>
      <c r="D3">
        <v>5.45E-3</v>
      </c>
      <c r="E3">
        <f>IFERROR((D3*VLOOKUP($I$2,INDICES!$I$13:$J$58,2,0)/VLOOKUP($I$3,INDICES!$I$13:$J$58,2,0)),0)</f>
        <v>5.7350684890979517E-3</v>
      </c>
      <c r="H3" t="s">
        <v>177</v>
      </c>
      <c r="I3">
        <v>2022</v>
      </c>
    </row>
    <row r="4" spans="1:9">
      <c r="A4" t="s">
        <v>162</v>
      </c>
      <c r="B4" t="s">
        <v>163</v>
      </c>
      <c r="C4">
        <v>8.41</v>
      </c>
      <c r="D4">
        <v>9.2700000000000005E-3</v>
      </c>
      <c r="E4">
        <f>IFERROR((D4*VLOOKUP($I$2,INDICES!$I$13:$J$58,2,0)/VLOOKUP($I$3,INDICES!$I$13:$J$58,2,0)),0)</f>
        <v>9.7548779621904613E-3</v>
      </c>
    </row>
    <row r="5" spans="1:9">
      <c r="A5" t="s">
        <v>164</v>
      </c>
      <c r="B5" t="s">
        <v>165</v>
      </c>
      <c r="C5">
        <v>10.84</v>
      </c>
      <c r="D5">
        <v>1.1950000000000001E-2</v>
      </c>
      <c r="E5">
        <f>IFERROR((D5*VLOOKUP($I$2,INDICES!$I$13:$J$58,2,0)/VLOOKUP($I$3,INDICES!$I$13:$J$58,2,0)),0)</f>
        <v>1.257505843022395E-2</v>
      </c>
    </row>
    <row r="6" spans="1:9">
      <c r="A6" t="s">
        <v>166</v>
      </c>
      <c r="B6" t="s">
        <v>167</v>
      </c>
      <c r="C6">
        <v>0.68</v>
      </c>
      <c r="D6">
        <v>7.5000000000000002E-4</v>
      </c>
      <c r="E6">
        <f>IFERROR((D6*VLOOKUP($I$2,INDICES!$I$13:$J$58,2,0)/VLOOKUP($I$3,INDICES!$I$13:$J$58,2,0)),0)</f>
        <v>7.8922960859146131E-4</v>
      </c>
    </row>
    <row r="7" spans="1:9">
      <c r="A7" t="s">
        <v>168</v>
      </c>
      <c r="B7" t="s">
        <v>173</v>
      </c>
      <c r="C7">
        <v>29</v>
      </c>
      <c r="D7">
        <v>3.1969999999999998E-2</v>
      </c>
      <c r="E7">
        <f>IFERROR((D7*VLOOKUP($I$2,INDICES!$I$13:$J$58,2,0)/VLOOKUP($I$3,INDICES!$I$13:$J$58,2,0)),0)</f>
        <v>3.3642227448892018E-2</v>
      </c>
      <c r="F7" t="s">
        <v>180</v>
      </c>
    </row>
    <row r="8" spans="1:9">
      <c r="A8" t="s">
        <v>169</v>
      </c>
      <c r="B8" t="s">
        <v>174</v>
      </c>
      <c r="C8">
        <v>2.65</v>
      </c>
      <c r="D8">
        <v>2.9199999999999999E-3</v>
      </c>
      <c r="E8">
        <f>IFERROR((D8*VLOOKUP($I$2,INDICES!$I$13:$J$58,2,0)/VLOOKUP($I$3,INDICES!$I$13:$J$58,2,0)),0)</f>
        <v>3.0727339427827557E-3</v>
      </c>
      <c r="F8" t="s">
        <v>181</v>
      </c>
    </row>
    <row r="9" spans="1:9">
      <c r="A9" t="s">
        <v>170</v>
      </c>
      <c r="B9" t="s">
        <v>171</v>
      </c>
      <c r="C9">
        <v>2.96</v>
      </c>
      <c r="D9">
        <v>3.2599999999999999E-3</v>
      </c>
      <c r="E9">
        <f>IFERROR((D9*VLOOKUP($I$2,INDICES!$I$13:$J$58,2,0)/VLOOKUP($I$3,INDICES!$I$13:$J$58,2,0)),0)</f>
        <v>3.4305180320108849E-3</v>
      </c>
      <c r="F9" t="s">
        <v>181</v>
      </c>
    </row>
    <row r="11" spans="1:9">
      <c r="A11" t="s">
        <v>182</v>
      </c>
      <c r="E11">
        <f>SUM(E2:E6)</f>
        <v>4.0156002485133548E-2</v>
      </c>
    </row>
    <row r="15" spans="1:9">
      <c r="A15" t="s">
        <v>186</v>
      </c>
    </row>
    <row r="16" spans="1:9">
      <c r="A16" t="s">
        <v>184</v>
      </c>
      <c r="B16">
        <f>MIN('2025_feed_price'!C2:C52)</f>
        <v>6.347462255569597E-2</v>
      </c>
    </row>
    <row r="17" spans="1:2">
      <c r="A17" t="s">
        <v>185</v>
      </c>
      <c r="B17">
        <f>MAX('2025_feed_price'!C2:C52)</f>
        <v>0.10891603602653557</v>
      </c>
    </row>
  </sheetData>
  <hyperlinks>
    <hyperlink ref="I1" r:id="rId1" xr:uid="{B153F9E9-9A21-4F7F-ABCE-D9BECE1E33EE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FB4F-F46C-48CD-B358-EC59172B8429}">
  <dimension ref="A1:N54"/>
  <sheetViews>
    <sheetView workbookViewId="0">
      <selection activeCell="N6" sqref="N6"/>
    </sheetView>
  </sheetViews>
  <sheetFormatPr defaultRowHeight="14.4"/>
  <cols>
    <col min="1" max="1" width="13.88671875" customWidth="1"/>
    <col min="3" max="3" width="10.44140625" bestFit="1" customWidth="1"/>
    <col min="4" max="4" width="10.44140625" customWidth="1"/>
    <col min="9" max="10" width="16.21875" customWidth="1"/>
  </cols>
  <sheetData>
    <row r="1" spans="1:14" ht="18" thickBot="1">
      <c r="A1" s="23" t="s">
        <v>0</v>
      </c>
      <c r="B1" s="25">
        <v>2023</v>
      </c>
      <c r="C1" s="25"/>
      <c r="D1" s="25"/>
      <c r="E1" s="25"/>
      <c r="F1" s="25"/>
      <c r="G1" s="24"/>
      <c r="L1" t="s">
        <v>78</v>
      </c>
    </row>
    <row r="2" spans="1:14" ht="49.8" thickBot="1">
      <c r="A2" s="6" t="s">
        <v>1</v>
      </c>
      <c r="B2" s="8" t="s">
        <v>67</v>
      </c>
      <c r="C2" s="8" t="s">
        <v>69</v>
      </c>
      <c r="D2" s="8" t="s">
        <v>80</v>
      </c>
      <c r="E2" s="8" t="s">
        <v>68</v>
      </c>
      <c r="F2" s="8" t="s">
        <v>70</v>
      </c>
      <c r="G2" s="11" t="s">
        <v>102</v>
      </c>
      <c r="H2" s="8" t="s">
        <v>68</v>
      </c>
      <c r="I2" t="s">
        <v>101</v>
      </c>
      <c r="J2" s="11" t="s">
        <v>103</v>
      </c>
      <c r="K2" s="11" t="s">
        <v>76</v>
      </c>
      <c r="L2">
        <f>MIN(H3:H54)</f>
        <v>2.3318620070562426E-2</v>
      </c>
      <c r="M2" t="s">
        <v>103</v>
      </c>
      <c r="N2" t="s">
        <v>73</v>
      </c>
    </row>
    <row r="3" spans="1:14" ht="15" thickBot="1">
      <c r="A3" s="2" t="s">
        <v>13</v>
      </c>
      <c r="B3" s="3">
        <v>3.32</v>
      </c>
      <c r="C3" s="3">
        <f>B3/(1000000 * 1.055)</f>
        <v>3.1469194312796206E-6</v>
      </c>
      <c r="D3" s="12">
        <f>B3/(1/17.48)</f>
        <v>58.0336</v>
      </c>
      <c r="E3">
        <f>B3/(1/0.01927)</f>
        <v>6.3976399999999989E-2</v>
      </c>
      <c r="F3">
        <f>E3*1000</f>
        <v>63.976399999999991</v>
      </c>
      <c r="G3">
        <v>2023</v>
      </c>
      <c r="H3" s="9">
        <f>IFERROR((E3*VLOOKUP(I3,INDICES!$I$13:$J$58,2,0)/VLOOKUP(G3,INDICES!$I$13:$J$58,2,0)),0)</f>
        <v>6.6169075755783971E-2</v>
      </c>
      <c r="I3">
        <v>2025</v>
      </c>
      <c r="J3" t="s">
        <v>105</v>
      </c>
      <c r="K3" t="s">
        <v>77</v>
      </c>
      <c r="L3">
        <f>MAX(H3:H54)</f>
        <v>6.8760033541402032E-2</v>
      </c>
      <c r="N3" t="s">
        <v>75</v>
      </c>
    </row>
    <row r="4" spans="1:14" ht="15" thickBot="1">
      <c r="A4" s="2" t="s">
        <v>14</v>
      </c>
      <c r="B4" s="4">
        <v>1.52</v>
      </c>
      <c r="C4" s="3">
        <f t="shared" ref="C4:C54" si="0">B4/(1000000 * 1.055)</f>
        <v>1.4407582938388625E-6</v>
      </c>
      <c r="D4" s="12">
        <f t="shared" ref="D4:D54" si="1">B4/(1/17.48)</f>
        <v>26.569600000000001</v>
      </c>
      <c r="E4">
        <f t="shared" ref="E4:E34" si="2">B4/(1/0.01927)</f>
        <v>2.9290399999999998E-2</v>
      </c>
      <c r="F4">
        <f t="shared" ref="F4:F54" si="3">E4*1000</f>
        <v>29.290399999999998</v>
      </c>
      <c r="G4">
        <v>2023</v>
      </c>
      <c r="H4" s="9">
        <f>IFERROR((E4*VLOOKUP(I4,INDICES!$I$13:$J$58,2,0)/VLOOKUP(G4,INDICES!$I$13:$J$58,2,0)),0)</f>
        <v>3.02942756472264E-2</v>
      </c>
      <c r="I4">
        <v>2025</v>
      </c>
      <c r="J4" t="s">
        <v>104</v>
      </c>
      <c r="K4" t="s">
        <v>79</v>
      </c>
      <c r="L4">
        <f>H54</f>
        <v>6.1784377964738062E-2</v>
      </c>
      <c r="M4" t="s">
        <v>104</v>
      </c>
      <c r="N4" t="s">
        <v>74</v>
      </c>
    </row>
    <row r="5" spans="1:14" ht="15" thickBot="1">
      <c r="A5" s="2" t="s">
        <v>16</v>
      </c>
      <c r="B5" s="4">
        <v>3.01</v>
      </c>
      <c r="C5" s="3">
        <f t="shared" si="0"/>
        <v>2.8530805687203792E-6</v>
      </c>
      <c r="D5" s="12">
        <f t="shared" si="1"/>
        <v>52.614800000000002</v>
      </c>
      <c r="E5">
        <f t="shared" si="2"/>
        <v>5.800269999999999E-2</v>
      </c>
      <c r="F5">
        <f t="shared" si="3"/>
        <v>58.00269999999999</v>
      </c>
      <c r="G5">
        <v>2023</v>
      </c>
      <c r="H5" s="9">
        <f>IFERROR((E5*VLOOKUP(I5,INDICES!$I$13:$J$58,2,0)/VLOOKUP(G5,INDICES!$I$13:$J$58,2,0)),0)</f>
        <v>5.9990637959310165E-2</v>
      </c>
      <c r="I5">
        <v>2025</v>
      </c>
      <c r="J5" t="s">
        <v>107</v>
      </c>
      <c r="M5" t="s">
        <v>105</v>
      </c>
      <c r="N5" s="10" t="s">
        <v>192</v>
      </c>
    </row>
    <row r="6" spans="1:14" ht="15" thickBot="1">
      <c r="A6" s="2" t="s">
        <v>17</v>
      </c>
      <c r="B6" s="4">
        <v>3.26</v>
      </c>
      <c r="C6" s="3">
        <f t="shared" si="0"/>
        <v>3.0900473933649288E-6</v>
      </c>
      <c r="D6" s="12">
        <f t="shared" si="1"/>
        <v>56.9848</v>
      </c>
      <c r="E6">
        <f t="shared" si="2"/>
        <v>6.2820199999999993E-2</v>
      </c>
      <c r="F6">
        <f t="shared" si="3"/>
        <v>62.820199999999993</v>
      </c>
      <c r="G6">
        <v>2023</v>
      </c>
      <c r="H6" s="9">
        <f>IFERROR((E6*VLOOKUP(I6,INDICES!$I$13:$J$58,2,0)/VLOOKUP(G6,INDICES!$I$13:$J$58,2,0)),0)</f>
        <v>6.4973249085498716E-2</v>
      </c>
      <c r="I6">
        <v>2025</v>
      </c>
      <c r="J6" t="s">
        <v>106</v>
      </c>
      <c r="L6" t="s">
        <v>191</v>
      </c>
      <c r="M6" t="s">
        <v>106</v>
      </c>
    </row>
    <row r="7" spans="1:14" ht="15" thickBot="1">
      <c r="A7" s="2" t="s">
        <v>18</v>
      </c>
      <c r="B7" s="4">
        <v>3.15</v>
      </c>
      <c r="C7" s="3">
        <f t="shared" si="0"/>
        <v>2.9857819905213271E-6</v>
      </c>
      <c r="D7" s="12">
        <f t="shared" si="1"/>
        <v>55.062000000000005</v>
      </c>
      <c r="E7">
        <f t="shared" si="2"/>
        <v>6.0700499999999991E-2</v>
      </c>
      <c r="F7">
        <f t="shared" si="3"/>
        <v>60.700499999999991</v>
      </c>
      <c r="G7">
        <v>2023</v>
      </c>
      <c r="H7" s="9">
        <f>IFERROR((E7*VLOOKUP(I7,INDICES!$I$13:$J$58,2,0)/VLOOKUP(G7,INDICES!$I$13:$J$58,2,0)),0)</f>
        <v>6.2780900189975772E-2</v>
      </c>
      <c r="I7">
        <v>2025</v>
      </c>
      <c r="J7" t="s">
        <v>108</v>
      </c>
      <c r="K7" t="s">
        <v>76</v>
      </c>
      <c r="L7">
        <f>MIN(D3:D54)</f>
        <v>20.451599999999999</v>
      </c>
      <c r="M7" t="s">
        <v>107</v>
      </c>
    </row>
    <row r="8" spans="1:14" ht="15" thickBot="1">
      <c r="A8" s="2" t="s">
        <v>19</v>
      </c>
      <c r="B8" s="4">
        <v>3.05</v>
      </c>
      <c r="C8" s="3">
        <f t="shared" si="0"/>
        <v>2.8909952606635068E-6</v>
      </c>
      <c r="D8" s="12">
        <f t="shared" si="1"/>
        <v>53.314</v>
      </c>
      <c r="E8">
        <f t="shared" si="2"/>
        <v>5.8773499999999992E-2</v>
      </c>
      <c r="F8">
        <f t="shared" si="3"/>
        <v>58.773499999999991</v>
      </c>
      <c r="G8">
        <v>2023</v>
      </c>
      <c r="H8" s="9">
        <f>IFERROR((E8*VLOOKUP(I8,INDICES!$I$13:$J$58,2,0)/VLOOKUP(G8,INDICES!$I$13:$J$58,2,0)),0)</f>
        <v>6.0787855739500345E-2</v>
      </c>
      <c r="I8">
        <v>2025</v>
      </c>
      <c r="J8" t="s">
        <v>109</v>
      </c>
      <c r="K8" t="s">
        <v>77</v>
      </c>
      <c r="L8">
        <f>MAX(D3:D54)</f>
        <v>60.306000000000004</v>
      </c>
      <c r="M8" t="s">
        <v>108</v>
      </c>
    </row>
    <row r="9" spans="1:14" ht="15" thickBot="1">
      <c r="A9" s="2" t="s">
        <v>20</v>
      </c>
      <c r="B9" s="4">
        <v>2.73</v>
      </c>
      <c r="C9" s="3">
        <f t="shared" si="0"/>
        <v>2.5876777251184836E-6</v>
      </c>
      <c r="D9" s="12">
        <f t="shared" si="1"/>
        <v>47.720400000000005</v>
      </c>
      <c r="E9">
        <f t="shared" si="2"/>
        <v>5.2607099999999997E-2</v>
      </c>
      <c r="F9">
        <f t="shared" si="3"/>
        <v>52.607099999999996</v>
      </c>
      <c r="G9">
        <v>2023</v>
      </c>
      <c r="H9" s="9">
        <f>IFERROR((E9*VLOOKUP(I9,INDICES!$I$13:$J$58,2,0)/VLOOKUP(G9,INDICES!$I$13:$J$58,2,0)),0)</f>
        <v>5.4410113497979001E-2</v>
      </c>
      <c r="I9">
        <v>2025</v>
      </c>
      <c r="J9" t="s">
        <v>110</v>
      </c>
      <c r="M9" t="s">
        <v>109</v>
      </c>
    </row>
    <row r="10" spans="1:14" ht="15" thickBot="1">
      <c r="A10" s="2" t="s">
        <v>21</v>
      </c>
      <c r="B10" s="4">
        <v>1.17</v>
      </c>
      <c r="C10" s="3">
        <f t="shared" si="0"/>
        <v>1.1090047393364928E-6</v>
      </c>
      <c r="D10" s="12">
        <f t="shared" si="1"/>
        <v>20.451599999999999</v>
      </c>
      <c r="E10">
        <f t="shared" si="2"/>
        <v>2.2545899999999997E-2</v>
      </c>
      <c r="F10">
        <f t="shared" si="3"/>
        <v>22.545899999999996</v>
      </c>
      <c r="G10">
        <v>2023</v>
      </c>
      <c r="H10" s="9">
        <f>IFERROR((E10*VLOOKUP(I10,INDICES!$I$13:$J$58,2,0)/VLOOKUP(G10,INDICES!$I$13:$J$58,2,0)),0)</f>
        <v>2.3318620070562426E-2</v>
      </c>
      <c r="I10">
        <v>2025</v>
      </c>
      <c r="J10" t="s">
        <v>111</v>
      </c>
      <c r="M10" t="s">
        <v>110</v>
      </c>
    </row>
    <row r="11" spans="1:14" ht="15" thickBot="1">
      <c r="A11" s="2" t="s">
        <v>22</v>
      </c>
      <c r="B11" s="7">
        <v>2.65</v>
      </c>
      <c r="C11" s="3">
        <f t="shared" si="0"/>
        <v>2.5118483412322274E-6</v>
      </c>
      <c r="D11" s="12">
        <f t="shared" si="1"/>
        <v>46.322000000000003</v>
      </c>
      <c r="E11">
        <f t="shared" si="2"/>
        <v>5.1065499999999993E-2</v>
      </c>
      <c r="F11">
        <f t="shared" si="3"/>
        <v>51.065499999999993</v>
      </c>
      <c r="G11">
        <v>2023</v>
      </c>
      <c r="H11" s="9">
        <f>IFERROR((E11*VLOOKUP(I11,INDICES!$I$13:$J$58,2,0)/VLOOKUP(G11,INDICES!$I$13:$J$58,2,0)),0)</f>
        <v>5.2815677937598657E-2</v>
      </c>
      <c r="I11">
        <v>2025</v>
      </c>
      <c r="J11" t="s">
        <v>154</v>
      </c>
      <c r="M11" t="s">
        <v>111</v>
      </c>
    </row>
    <row r="12" spans="1:14" ht="15" thickBot="1">
      <c r="A12" s="2" t="s">
        <v>23</v>
      </c>
      <c r="B12" s="4">
        <v>2.57</v>
      </c>
      <c r="C12" s="3">
        <f t="shared" si="0"/>
        <v>2.4360189573459716E-6</v>
      </c>
      <c r="D12" s="12">
        <f t="shared" si="1"/>
        <v>44.9236</v>
      </c>
      <c r="E12">
        <f t="shared" si="2"/>
        <v>4.9523899999999989E-2</v>
      </c>
      <c r="F12">
        <f t="shared" si="3"/>
        <v>49.52389999999999</v>
      </c>
      <c r="G12">
        <v>2023</v>
      </c>
      <c r="H12" s="9">
        <f>IFERROR((E12*VLOOKUP(I12,INDICES!$I$13:$J$58,2,0)/VLOOKUP(G12,INDICES!$I$13:$J$58,2,0)),0)</f>
        <v>5.1221242377218319E-2</v>
      </c>
      <c r="I12">
        <v>2025</v>
      </c>
      <c r="J12" t="s">
        <v>112</v>
      </c>
      <c r="M12" t="s">
        <v>112</v>
      </c>
    </row>
    <row r="13" spans="1:14" ht="15" thickBot="1">
      <c r="A13" s="2" t="s">
        <v>24</v>
      </c>
      <c r="B13" s="4">
        <v>3.3</v>
      </c>
      <c r="C13" s="3">
        <f t="shared" si="0"/>
        <v>3.1279620853080565E-6</v>
      </c>
      <c r="D13" s="12">
        <f t="shared" si="1"/>
        <v>57.683999999999997</v>
      </c>
      <c r="E13">
        <f t="shared" si="2"/>
        <v>6.3590999999999995E-2</v>
      </c>
      <c r="F13">
        <f t="shared" si="3"/>
        <v>63.590999999999994</v>
      </c>
      <c r="G13">
        <v>2023</v>
      </c>
      <c r="H13" s="9">
        <f>IFERROR((E13*VLOOKUP(I13,INDICES!$I$13:$J$58,2,0)/VLOOKUP(G13,INDICES!$I$13:$J$58,2,0)),0)</f>
        <v>6.5770466865688895E-2</v>
      </c>
      <c r="I13">
        <v>2025</v>
      </c>
      <c r="J13" t="s">
        <v>113</v>
      </c>
      <c r="M13" t="s">
        <v>113</v>
      </c>
    </row>
    <row r="14" spans="1:14" ht="15" thickBot="1">
      <c r="A14" s="2" t="s">
        <v>25</v>
      </c>
      <c r="B14" s="4">
        <v>2.98</v>
      </c>
      <c r="C14" s="3">
        <f t="shared" si="0"/>
        <v>2.8246445497630333E-6</v>
      </c>
      <c r="D14" s="12">
        <f t="shared" si="1"/>
        <v>52.090400000000002</v>
      </c>
      <c r="E14">
        <f t="shared" si="2"/>
        <v>5.7424599999999992E-2</v>
      </c>
      <c r="F14">
        <f t="shared" si="3"/>
        <v>57.424599999999991</v>
      </c>
      <c r="G14">
        <v>2023</v>
      </c>
      <c r="H14" s="9">
        <f>IFERROR((E14*VLOOKUP(I14,INDICES!$I$13:$J$58,2,0)/VLOOKUP(G14,INDICES!$I$13:$J$58,2,0)),0)</f>
        <v>5.9392724624167545E-2</v>
      </c>
      <c r="I14">
        <v>2025</v>
      </c>
      <c r="J14" t="s">
        <v>114</v>
      </c>
      <c r="M14" t="s">
        <v>114</v>
      </c>
    </row>
    <row r="15" spans="1:14" ht="15" thickBot="1">
      <c r="A15" s="2" t="s">
        <v>26</v>
      </c>
      <c r="B15" s="4">
        <v>3.31</v>
      </c>
      <c r="C15" s="3">
        <f t="shared" si="0"/>
        <v>3.1374407582938388E-6</v>
      </c>
      <c r="D15" s="12">
        <f t="shared" si="1"/>
        <v>57.858800000000002</v>
      </c>
      <c r="E15">
        <f t="shared" si="2"/>
        <v>6.3783699999999999E-2</v>
      </c>
      <c r="F15">
        <f t="shared" si="3"/>
        <v>63.783699999999996</v>
      </c>
      <c r="G15">
        <v>2023</v>
      </c>
      <c r="H15" s="9">
        <f>IFERROR((E15*VLOOKUP(I15,INDICES!$I$13:$J$58,2,0)/VLOOKUP(G15,INDICES!$I$13:$J$58,2,0)),0)</f>
        <v>6.5969771310736447E-2</v>
      </c>
      <c r="I15">
        <v>2025</v>
      </c>
      <c r="J15" t="s">
        <v>116</v>
      </c>
      <c r="M15" t="s">
        <v>115</v>
      </c>
    </row>
    <row r="16" spans="1:14" ht="15" thickBot="1">
      <c r="A16" s="2" t="s">
        <v>27</v>
      </c>
      <c r="B16" s="4">
        <v>2.3199999999999998</v>
      </c>
      <c r="C16" s="3">
        <f t="shared" si="0"/>
        <v>2.1990521327014215E-6</v>
      </c>
      <c r="D16" s="12">
        <f t="shared" si="1"/>
        <v>40.553600000000003</v>
      </c>
      <c r="E16">
        <f t="shared" si="2"/>
        <v>4.4706399999999993E-2</v>
      </c>
      <c r="F16">
        <f t="shared" si="3"/>
        <v>44.706399999999995</v>
      </c>
      <c r="G16">
        <v>2023</v>
      </c>
      <c r="H16" s="9">
        <f>IFERROR((E16*VLOOKUP(I16,INDICES!$I$13:$J$58,2,0)/VLOOKUP(G16,INDICES!$I$13:$J$58,2,0)),0)</f>
        <v>4.6238631251029769E-2</v>
      </c>
      <c r="I16">
        <v>2025</v>
      </c>
      <c r="J16" t="s">
        <v>117</v>
      </c>
      <c r="M16" t="s">
        <v>116</v>
      </c>
    </row>
    <row r="17" spans="1:13" ht="15" thickBot="1">
      <c r="A17" s="2" t="s">
        <v>28</v>
      </c>
      <c r="B17" s="4">
        <v>2.61</v>
      </c>
      <c r="C17" s="3">
        <f t="shared" si="0"/>
        <v>2.4739336492890993E-6</v>
      </c>
      <c r="D17" s="12">
        <f t="shared" si="1"/>
        <v>45.622799999999998</v>
      </c>
      <c r="E17">
        <f t="shared" si="2"/>
        <v>5.0294699999999991E-2</v>
      </c>
      <c r="F17">
        <f t="shared" si="3"/>
        <v>50.294699999999992</v>
      </c>
      <c r="G17">
        <v>2023</v>
      </c>
      <c r="H17" s="9">
        <f>IFERROR((E17*VLOOKUP(I17,INDICES!$I$13:$J$58,2,0)/VLOOKUP(G17,INDICES!$I$13:$J$58,2,0)),0)</f>
        <v>5.2018460157408485E-2</v>
      </c>
      <c r="I17">
        <v>2025</v>
      </c>
      <c r="J17" t="s">
        <v>118</v>
      </c>
      <c r="M17" t="s">
        <v>117</v>
      </c>
    </row>
    <row r="18" spans="1:13" ht="15" thickBot="1">
      <c r="A18" s="2" t="s">
        <v>29</v>
      </c>
      <c r="B18" s="4">
        <v>2.65</v>
      </c>
      <c r="C18" s="3">
        <f t="shared" si="0"/>
        <v>2.5118483412322274E-6</v>
      </c>
      <c r="D18" s="12">
        <f t="shared" si="1"/>
        <v>46.322000000000003</v>
      </c>
      <c r="E18">
        <f t="shared" si="2"/>
        <v>5.1065499999999993E-2</v>
      </c>
      <c r="F18">
        <f t="shared" si="3"/>
        <v>51.065499999999993</v>
      </c>
      <c r="G18">
        <v>2023</v>
      </c>
      <c r="H18" s="9">
        <f>IFERROR((E18*VLOOKUP(I18,INDICES!$I$13:$J$58,2,0)/VLOOKUP(G18,INDICES!$I$13:$J$58,2,0)),0)</f>
        <v>5.2815677937598657E-2</v>
      </c>
      <c r="I18">
        <v>2025</v>
      </c>
      <c r="J18" t="s">
        <v>115</v>
      </c>
      <c r="M18" t="s">
        <v>118</v>
      </c>
    </row>
    <row r="19" spans="1:13" ht="15" thickBot="1">
      <c r="A19" s="2" t="s">
        <v>30</v>
      </c>
      <c r="B19" s="4">
        <v>1.21</v>
      </c>
      <c r="C19" s="3">
        <f t="shared" si="0"/>
        <v>1.1469194312796209E-6</v>
      </c>
      <c r="D19" s="12">
        <f t="shared" si="1"/>
        <v>21.1508</v>
      </c>
      <c r="E19">
        <f t="shared" si="2"/>
        <v>2.3316699999999996E-2</v>
      </c>
      <c r="F19">
        <f t="shared" si="3"/>
        <v>23.316699999999997</v>
      </c>
      <c r="G19">
        <v>2023</v>
      </c>
      <c r="H19" s="9">
        <f>IFERROR((E19*VLOOKUP(I19,INDICES!$I$13:$J$58,2,0)/VLOOKUP(G19,INDICES!$I$13:$J$58,2,0)),0)</f>
        <v>2.4115837850752594E-2</v>
      </c>
      <c r="I19">
        <v>2025</v>
      </c>
      <c r="J19" t="s">
        <v>119</v>
      </c>
      <c r="M19" t="s">
        <v>119</v>
      </c>
    </row>
    <row r="20" spans="1:13" ht="15" thickBot="1">
      <c r="A20" s="2" t="s">
        <v>31</v>
      </c>
      <c r="B20" s="4">
        <v>3.05</v>
      </c>
      <c r="C20" s="3">
        <f t="shared" si="0"/>
        <v>2.8909952606635068E-6</v>
      </c>
      <c r="D20" s="12">
        <f t="shared" si="1"/>
        <v>53.314</v>
      </c>
      <c r="E20">
        <f t="shared" si="2"/>
        <v>5.8773499999999992E-2</v>
      </c>
      <c r="F20">
        <f t="shared" si="3"/>
        <v>58.773499999999991</v>
      </c>
      <c r="G20">
        <v>2023</v>
      </c>
      <c r="H20" s="9">
        <f>IFERROR((E20*VLOOKUP(I20,INDICES!$I$13:$J$58,2,0)/VLOOKUP(G20,INDICES!$I$13:$J$58,2,0)),0)</f>
        <v>6.0787855739500345E-2</v>
      </c>
      <c r="I20">
        <v>2025</v>
      </c>
      <c r="J20" t="s">
        <v>120</v>
      </c>
      <c r="M20" t="s">
        <v>120</v>
      </c>
    </row>
    <row r="21" spans="1:13" ht="15" thickBot="1">
      <c r="A21" s="2" t="s">
        <v>32</v>
      </c>
      <c r="B21" s="4">
        <v>3.15</v>
      </c>
      <c r="C21" s="3">
        <f t="shared" si="0"/>
        <v>2.9857819905213271E-6</v>
      </c>
      <c r="D21" s="12">
        <f t="shared" si="1"/>
        <v>55.062000000000005</v>
      </c>
      <c r="E21">
        <f t="shared" si="2"/>
        <v>6.0700499999999991E-2</v>
      </c>
      <c r="F21">
        <f t="shared" si="3"/>
        <v>60.700499999999991</v>
      </c>
      <c r="G21">
        <v>2023</v>
      </c>
      <c r="H21" s="9">
        <f>IFERROR((E21*VLOOKUP(I21,INDICES!$I$13:$J$58,2,0)/VLOOKUP(G21,INDICES!$I$13:$J$58,2,0)),0)</f>
        <v>6.2780900189975772E-2</v>
      </c>
      <c r="I21">
        <v>2025</v>
      </c>
      <c r="J21" t="s">
        <v>121</v>
      </c>
      <c r="M21" t="s">
        <v>121</v>
      </c>
    </row>
    <row r="22" spans="1:13" ht="15" thickBot="1">
      <c r="A22" s="2" t="s">
        <v>33</v>
      </c>
      <c r="B22" s="4">
        <v>3.28</v>
      </c>
      <c r="C22" s="3">
        <f t="shared" si="0"/>
        <v>3.1090047393364929E-6</v>
      </c>
      <c r="D22" s="12">
        <f t="shared" si="1"/>
        <v>57.334400000000002</v>
      </c>
      <c r="E22">
        <f t="shared" si="2"/>
        <v>6.3205599999999987E-2</v>
      </c>
      <c r="F22">
        <f t="shared" si="3"/>
        <v>63.20559999999999</v>
      </c>
      <c r="G22">
        <v>2023</v>
      </c>
      <c r="H22" s="9">
        <f>IFERROR((E22*VLOOKUP(I22,INDICES!$I$13:$J$58,2,0)/VLOOKUP(G22,INDICES!$I$13:$J$58,2,0)),0)</f>
        <v>6.5371857975593806E-2</v>
      </c>
      <c r="I22">
        <v>2025</v>
      </c>
      <c r="J22" t="s">
        <v>124</v>
      </c>
      <c r="M22" t="s">
        <v>122</v>
      </c>
    </row>
    <row r="23" spans="1:13" ht="15" thickBot="1">
      <c r="A23" s="2" t="s">
        <v>34</v>
      </c>
      <c r="B23" s="4">
        <v>2.65</v>
      </c>
      <c r="C23" s="3">
        <f t="shared" si="0"/>
        <v>2.5118483412322274E-6</v>
      </c>
      <c r="D23" s="12">
        <f t="shared" si="1"/>
        <v>46.322000000000003</v>
      </c>
      <c r="E23">
        <f t="shared" si="2"/>
        <v>5.1065499999999993E-2</v>
      </c>
      <c r="F23">
        <f t="shared" si="3"/>
        <v>51.065499999999993</v>
      </c>
      <c r="G23">
        <v>2023</v>
      </c>
      <c r="H23" s="9">
        <f>IFERROR((E23*VLOOKUP(I23,INDICES!$I$13:$J$58,2,0)/VLOOKUP(G23,INDICES!$I$13:$J$58,2,0)),0)</f>
        <v>5.2815677937598657E-2</v>
      </c>
      <c r="I23">
        <v>2025</v>
      </c>
      <c r="J23" t="s">
        <v>123</v>
      </c>
      <c r="M23" t="s">
        <v>123</v>
      </c>
    </row>
    <row r="24" spans="1:13" ht="15" thickBot="1">
      <c r="A24" s="2" t="s">
        <v>35</v>
      </c>
      <c r="B24" s="4">
        <v>2.44</v>
      </c>
      <c r="C24" s="3">
        <f t="shared" si="0"/>
        <v>2.3127962085308058E-6</v>
      </c>
      <c r="D24" s="12">
        <f t="shared" si="1"/>
        <v>42.651200000000003</v>
      </c>
      <c r="E24">
        <f t="shared" si="2"/>
        <v>4.7018799999999993E-2</v>
      </c>
      <c r="F24">
        <f t="shared" si="3"/>
        <v>47.018799999999992</v>
      </c>
      <c r="G24">
        <v>2023</v>
      </c>
      <c r="H24" s="9">
        <f>IFERROR((E24*VLOOKUP(I24,INDICES!$I$13:$J$58,2,0)/VLOOKUP(G24,INDICES!$I$13:$J$58,2,0)),0)</f>
        <v>4.8630284591600272E-2</v>
      </c>
      <c r="I24">
        <v>2025</v>
      </c>
      <c r="J24" t="s">
        <v>122</v>
      </c>
      <c r="M24" t="s">
        <v>124</v>
      </c>
    </row>
    <row r="25" spans="1:13" ht="15" thickBot="1">
      <c r="A25" s="2" t="s">
        <v>36</v>
      </c>
      <c r="B25" s="4">
        <v>2.96</v>
      </c>
      <c r="C25" s="3">
        <f t="shared" si="0"/>
        <v>2.8056872037914692E-6</v>
      </c>
      <c r="D25" s="12">
        <f t="shared" si="1"/>
        <v>51.7408</v>
      </c>
      <c r="E25">
        <f t="shared" si="2"/>
        <v>5.7039199999999991E-2</v>
      </c>
      <c r="F25">
        <f t="shared" si="3"/>
        <v>57.039199999999994</v>
      </c>
      <c r="G25">
        <v>2023</v>
      </c>
      <c r="H25" s="9">
        <f>IFERROR((E25*VLOOKUP(I25,INDICES!$I$13:$J$58,2,0)/VLOOKUP(G25,INDICES!$I$13:$J$58,2,0)),0)</f>
        <v>5.8994115734072462E-2</v>
      </c>
      <c r="I25">
        <v>2025</v>
      </c>
      <c r="J25" t="s">
        <v>125</v>
      </c>
      <c r="M25" t="s">
        <v>125</v>
      </c>
    </row>
    <row r="26" spans="1:13" ht="15" thickBot="1">
      <c r="A26" s="2" t="s">
        <v>37</v>
      </c>
      <c r="B26" s="4">
        <v>3.27</v>
      </c>
      <c r="C26" s="3">
        <f t="shared" si="0"/>
        <v>3.0995260663507111E-6</v>
      </c>
      <c r="D26" s="12">
        <f t="shared" si="1"/>
        <v>57.159600000000005</v>
      </c>
      <c r="E26">
        <f t="shared" si="2"/>
        <v>6.3012899999999997E-2</v>
      </c>
      <c r="F26">
        <f t="shared" si="3"/>
        <v>63.012899999999995</v>
      </c>
      <c r="G26">
        <v>2023</v>
      </c>
      <c r="H26" s="9">
        <f>IFERROR((E26*VLOOKUP(I26,INDICES!$I$13:$J$58,2,0)/VLOOKUP(G26,INDICES!$I$13:$J$58,2,0)),0)</f>
        <v>6.5172553530546268E-2</v>
      </c>
      <c r="I26">
        <v>2025</v>
      </c>
      <c r="J26" t="s">
        <v>126</v>
      </c>
      <c r="M26" t="s">
        <v>126</v>
      </c>
    </row>
    <row r="27" spans="1:13" ht="15" thickBot="1">
      <c r="A27" s="2" t="s">
        <v>38</v>
      </c>
      <c r="B27" s="4">
        <v>3.29</v>
      </c>
      <c r="C27" s="3">
        <f t="shared" si="0"/>
        <v>3.1184834123222751E-6</v>
      </c>
      <c r="D27" s="12">
        <f t="shared" si="1"/>
        <v>57.509200000000007</v>
      </c>
      <c r="E27">
        <f t="shared" si="2"/>
        <v>6.3398299999999991E-2</v>
      </c>
      <c r="F27">
        <f t="shared" si="3"/>
        <v>63.398299999999992</v>
      </c>
      <c r="G27">
        <v>2023</v>
      </c>
      <c r="H27" s="9">
        <f>IFERROR((E27*VLOOKUP(I27,INDICES!$I$13:$J$58,2,0)/VLOOKUP(G27,INDICES!$I$13:$J$58,2,0)),0)</f>
        <v>6.5571162420641357E-2</v>
      </c>
      <c r="I27">
        <v>2025</v>
      </c>
      <c r="J27" t="s">
        <v>128</v>
      </c>
      <c r="M27" t="s">
        <v>127</v>
      </c>
    </row>
    <row r="28" spans="1:13" ht="15" thickBot="1">
      <c r="A28" s="2" t="s">
        <v>39</v>
      </c>
      <c r="B28" s="4">
        <v>2.72</v>
      </c>
      <c r="C28" s="3">
        <f t="shared" si="0"/>
        <v>2.5781990521327018E-6</v>
      </c>
      <c r="D28" s="12">
        <f t="shared" si="1"/>
        <v>47.545600000000007</v>
      </c>
      <c r="E28">
        <f t="shared" si="2"/>
        <v>5.24144E-2</v>
      </c>
      <c r="F28">
        <f t="shared" si="3"/>
        <v>52.414400000000001</v>
      </c>
      <c r="G28">
        <v>2023</v>
      </c>
      <c r="H28" s="9">
        <f>IFERROR((E28*VLOOKUP(I28,INDICES!$I$13:$J$58,2,0)/VLOOKUP(G28,INDICES!$I$13:$J$58,2,0)),0)</f>
        <v>5.4210809052931457E-2</v>
      </c>
      <c r="I28">
        <v>2025</v>
      </c>
      <c r="J28" t="s">
        <v>127</v>
      </c>
      <c r="M28" t="s">
        <v>128</v>
      </c>
    </row>
    <row r="29" spans="1:13" ht="15" thickBot="1">
      <c r="A29" s="2" t="s">
        <v>40</v>
      </c>
      <c r="B29" s="4">
        <v>2.8</v>
      </c>
      <c r="C29" s="3">
        <f t="shared" si="0"/>
        <v>2.6540284360189572E-6</v>
      </c>
      <c r="D29" s="12">
        <f t="shared" si="1"/>
        <v>48.944000000000003</v>
      </c>
      <c r="E29">
        <f t="shared" si="2"/>
        <v>5.395599999999999E-2</v>
      </c>
      <c r="F29">
        <f t="shared" si="3"/>
        <v>53.955999999999989</v>
      </c>
      <c r="G29">
        <v>2023</v>
      </c>
      <c r="H29" s="9">
        <f>IFERROR((E29*VLOOKUP(I29,INDICES!$I$13:$J$58,2,0)/VLOOKUP(G29,INDICES!$I$13:$J$58,2,0)),0)</f>
        <v>5.5805244613311794E-2</v>
      </c>
      <c r="I29">
        <v>2025</v>
      </c>
      <c r="J29" t="s">
        <v>129</v>
      </c>
      <c r="M29" t="s">
        <v>129</v>
      </c>
    </row>
    <row r="30" spans="1:13" ht="15" thickBot="1">
      <c r="A30" s="2" t="s">
        <v>41</v>
      </c>
      <c r="B30" s="4">
        <v>1.33</v>
      </c>
      <c r="C30" s="3">
        <f t="shared" si="0"/>
        <v>1.2606635071090048E-6</v>
      </c>
      <c r="D30" s="12">
        <f t="shared" si="1"/>
        <v>23.248400000000004</v>
      </c>
      <c r="E30">
        <f t="shared" si="2"/>
        <v>2.5629099999999998E-2</v>
      </c>
      <c r="F30">
        <f t="shared" si="3"/>
        <v>25.629099999999998</v>
      </c>
      <c r="G30">
        <v>2023</v>
      </c>
      <c r="H30" s="9">
        <f>IFERROR((E30*VLOOKUP(I30,INDICES!$I$13:$J$58,2,0)/VLOOKUP(G30,INDICES!$I$13:$J$58,2,0)),0)</f>
        <v>2.6507491191323101E-2</v>
      </c>
      <c r="I30">
        <v>2025</v>
      </c>
      <c r="J30" t="s">
        <v>132</v>
      </c>
      <c r="M30" t="s">
        <v>130</v>
      </c>
    </row>
    <row r="31" spans="1:13" ht="15" thickBot="1">
      <c r="A31" s="2" t="s">
        <v>42</v>
      </c>
      <c r="B31" s="4">
        <v>3.01</v>
      </c>
      <c r="C31" s="3">
        <f t="shared" si="0"/>
        <v>2.8530805687203792E-6</v>
      </c>
      <c r="D31" s="12">
        <f t="shared" si="1"/>
        <v>52.614800000000002</v>
      </c>
      <c r="E31">
        <f t="shared" si="2"/>
        <v>5.800269999999999E-2</v>
      </c>
      <c r="F31">
        <f t="shared" si="3"/>
        <v>58.00269999999999</v>
      </c>
      <c r="G31">
        <v>2023</v>
      </c>
      <c r="H31" s="9">
        <f>IFERROR((E31*VLOOKUP(I31,INDICES!$I$13:$J$58,2,0)/VLOOKUP(G31,INDICES!$I$13:$J$58,2,0)),0)</f>
        <v>5.9990637959310165E-2</v>
      </c>
      <c r="I31">
        <v>2025</v>
      </c>
      <c r="J31" t="s">
        <v>136</v>
      </c>
      <c r="M31" t="s">
        <v>131</v>
      </c>
    </row>
    <row r="32" spans="1:13" ht="15" thickBot="1">
      <c r="A32" s="2" t="s">
        <v>43</v>
      </c>
      <c r="B32" s="4">
        <v>1.68</v>
      </c>
      <c r="C32" s="3">
        <f t="shared" si="0"/>
        <v>1.5924170616113743E-6</v>
      </c>
      <c r="D32" s="12">
        <f t="shared" si="1"/>
        <v>29.366400000000002</v>
      </c>
      <c r="E32">
        <f t="shared" si="2"/>
        <v>3.2373599999999995E-2</v>
      </c>
      <c r="F32">
        <f t="shared" si="3"/>
        <v>32.373599999999996</v>
      </c>
      <c r="G32">
        <v>2023</v>
      </c>
      <c r="H32" s="9">
        <f>IFERROR((E32*VLOOKUP(I32,INDICES!$I$13:$J$58,2,0)/VLOOKUP(G32,INDICES!$I$13:$J$58,2,0)),0)</f>
        <v>3.3483146767987068E-2</v>
      </c>
      <c r="I32">
        <v>2025</v>
      </c>
      <c r="J32" t="s">
        <v>133</v>
      </c>
      <c r="M32" t="s">
        <v>132</v>
      </c>
    </row>
    <row r="33" spans="1:13" ht="15" thickBot="1">
      <c r="A33" s="2" t="s">
        <v>44</v>
      </c>
      <c r="B33" s="4">
        <v>2.2000000000000002</v>
      </c>
      <c r="C33" s="3">
        <f t="shared" si="0"/>
        <v>2.085308056872038E-6</v>
      </c>
      <c r="D33" s="12">
        <f t="shared" si="1"/>
        <v>38.456000000000003</v>
      </c>
      <c r="E33">
        <f t="shared" si="2"/>
        <v>4.2394000000000001E-2</v>
      </c>
      <c r="F33">
        <f t="shared" si="3"/>
        <v>42.393999999999998</v>
      </c>
      <c r="G33">
        <v>2023</v>
      </c>
      <c r="H33" s="9">
        <f>IFERROR((E33*VLOOKUP(I33,INDICES!$I$13:$J$58,2,0)/VLOOKUP(G33,INDICES!$I$13:$J$58,2,0)),0)</f>
        <v>4.3846977910459273E-2</v>
      </c>
      <c r="I33">
        <v>2025</v>
      </c>
      <c r="J33" t="s">
        <v>134</v>
      </c>
      <c r="M33" t="s">
        <v>133</v>
      </c>
    </row>
    <row r="34" spans="1:13" ht="15" thickBot="1">
      <c r="A34" s="2" t="s">
        <v>45</v>
      </c>
      <c r="B34" s="4">
        <v>3.45</v>
      </c>
      <c r="C34" s="3">
        <f t="shared" si="0"/>
        <v>3.2701421800947867E-6</v>
      </c>
      <c r="D34" s="12">
        <f t="shared" si="1"/>
        <v>60.306000000000004</v>
      </c>
      <c r="E34">
        <f t="shared" si="2"/>
        <v>6.6481499999999999E-2</v>
      </c>
      <c r="F34">
        <f t="shared" si="3"/>
        <v>66.481499999999997</v>
      </c>
      <c r="G34">
        <v>2023</v>
      </c>
      <c r="H34" s="9">
        <f>IFERROR((E34*VLOOKUP(I34,INDICES!$I$13:$J$58,2,0)/VLOOKUP(G34,INDICES!$I$13:$J$58,2,0)),0)</f>
        <v>6.8760033541402032E-2</v>
      </c>
      <c r="I34">
        <v>2025</v>
      </c>
      <c r="J34" t="s">
        <v>135</v>
      </c>
      <c r="M34" t="s">
        <v>134</v>
      </c>
    </row>
    <row r="35" spans="1:13" ht="15" thickBot="1">
      <c r="A35" s="2" t="s">
        <v>47</v>
      </c>
      <c r="B35" s="4">
        <v>2.75</v>
      </c>
      <c r="C35" s="3">
        <f t="shared" si="0"/>
        <v>2.6066350710900472E-6</v>
      </c>
      <c r="D35" s="12">
        <f t="shared" si="1"/>
        <v>48.07</v>
      </c>
      <c r="E35">
        <f t="shared" ref="E35:E54" si="4">B35/(1/0.01927)</f>
        <v>5.2992499999999998E-2</v>
      </c>
      <c r="F35">
        <f t="shared" si="3"/>
        <v>52.9925</v>
      </c>
      <c r="G35">
        <v>2023</v>
      </c>
      <c r="H35" s="9">
        <f>IFERROR((E35*VLOOKUP(I35,INDICES!$I$13:$J$58,2,0)/VLOOKUP(G35,INDICES!$I$13:$J$58,2,0)),0)</f>
        <v>5.4808722388074084E-2</v>
      </c>
      <c r="I35">
        <v>2025</v>
      </c>
      <c r="J35" t="s">
        <v>137</v>
      </c>
      <c r="M35" t="s">
        <v>135</v>
      </c>
    </row>
    <row r="36" spans="1:13" ht="15" thickBot="1">
      <c r="A36" s="2" t="s">
        <v>48</v>
      </c>
      <c r="B36" s="4">
        <v>3.29</v>
      </c>
      <c r="C36" s="3">
        <f t="shared" si="0"/>
        <v>3.1184834123222751E-6</v>
      </c>
      <c r="D36" s="12">
        <f t="shared" si="1"/>
        <v>57.509200000000007</v>
      </c>
      <c r="E36">
        <f t="shared" si="4"/>
        <v>6.3398299999999991E-2</v>
      </c>
      <c r="F36">
        <f t="shared" si="3"/>
        <v>63.398299999999992</v>
      </c>
      <c r="G36">
        <v>2023</v>
      </c>
      <c r="H36" s="9">
        <f>IFERROR((E36*VLOOKUP(I36,INDICES!$I$13:$J$58,2,0)/VLOOKUP(G36,INDICES!$I$13:$J$58,2,0)),0)</f>
        <v>6.5571162420641357E-2</v>
      </c>
      <c r="I36">
        <v>2025</v>
      </c>
      <c r="J36" t="s">
        <v>130</v>
      </c>
      <c r="M36" t="s">
        <v>136</v>
      </c>
    </row>
    <row r="37" spans="1:13" ht="15" thickBot="1">
      <c r="A37" s="2" t="s">
        <v>49</v>
      </c>
      <c r="B37" s="4">
        <v>2.5299999999999998</v>
      </c>
      <c r="C37" s="3">
        <f t="shared" si="0"/>
        <v>2.3981042654028434E-6</v>
      </c>
      <c r="D37" s="12">
        <f t="shared" si="1"/>
        <v>44.224400000000003</v>
      </c>
      <c r="E37">
        <f t="shared" si="4"/>
        <v>4.8753099999999994E-2</v>
      </c>
      <c r="F37">
        <f t="shared" si="3"/>
        <v>48.753099999999996</v>
      </c>
      <c r="G37">
        <v>2023</v>
      </c>
      <c r="H37" s="9">
        <f>IFERROR((E37*VLOOKUP(I37,INDICES!$I$13:$J$58,2,0)/VLOOKUP(G37,INDICES!$I$13:$J$58,2,0)),0)</f>
        <v>5.0424024597028154E-2</v>
      </c>
      <c r="I37">
        <v>2025</v>
      </c>
      <c r="J37" t="s">
        <v>131</v>
      </c>
      <c r="M37" t="s">
        <v>137</v>
      </c>
    </row>
    <row r="38" spans="1:13" ht="15" thickBot="1">
      <c r="A38" s="2" t="s">
        <v>50</v>
      </c>
      <c r="B38" s="4">
        <v>2.31</v>
      </c>
      <c r="C38" s="3">
        <f t="shared" si="0"/>
        <v>2.1895734597156401E-6</v>
      </c>
      <c r="D38" s="12">
        <f t="shared" si="1"/>
        <v>40.378800000000005</v>
      </c>
      <c r="E38">
        <f t="shared" si="4"/>
        <v>4.4513699999999996E-2</v>
      </c>
      <c r="F38">
        <f t="shared" si="3"/>
        <v>44.513699999999993</v>
      </c>
      <c r="G38">
        <v>2023</v>
      </c>
      <c r="H38" s="9">
        <f>IFERROR((E38*VLOOKUP(I38,INDICES!$I$13:$J$58,2,0)/VLOOKUP(G38,INDICES!$I$13:$J$58,2,0)),0)</f>
        <v>4.6039326805982231E-2</v>
      </c>
      <c r="I38">
        <v>2025</v>
      </c>
      <c r="J38" t="s">
        <v>138</v>
      </c>
      <c r="M38" t="s">
        <v>138</v>
      </c>
    </row>
    <row r="39" spans="1:13" ht="15" thickBot="1">
      <c r="A39" s="2" t="s">
        <v>51</v>
      </c>
      <c r="B39" s="4">
        <v>2.64</v>
      </c>
      <c r="C39" s="3">
        <f t="shared" si="0"/>
        <v>2.5023696682464456E-6</v>
      </c>
      <c r="D39" s="12">
        <f t="shared" si="1"/>
        <v>46.147200000000005</v>
      </c>
      <c r="E39">
        <f t="shared" si="4"/>
        <v>5.0872799999999996E-2</v>
      </c>
      <c r="F39">
        <f t="shared" si="3"/>
        <v>50.872799999999998</v>
      </c>
      <c r="G39">
        <v>2023</v>
      </c>
      <c r="H39" s="9">
        <f>IFERROR((E39*VLOOKUP(I39,INDICES!$I$13:$J$58,2,0)/VLOOKUP(G39,INDICES!$I$13:$J$58,2,0)),0)</f>
        <v>5.2616373492551119E-2</v>
      </c>
      <c r="I39">
        <v>2025</v>
      </c>
      <c r="J39" t="s">
        <v>139</v>
      </c>
      <c r="M39" t="s">
        <v>139</v>
      </c>
    </row>
    <row r="40" spans="1:13" ht="15" thickBot="1">
      <c r="A40" s="2" t="s">
        <v>52</v>
      </c>
      <c r="B40" s="4">
        <v>3.18</v>
      </c>
      <c r="C40" s="3">
        <f t="shared" si="0"/>
        <v>3.014218009478673E-6</v>
      </c>
      <c r="D40" s="12">
        <f t="shared" si="1"/>
        <v>55.586400000000005</v>
      </c>
      <c r="E40">
        <f t="shared" si="4"/>
        <v>6.1278599999999996E-2</v>
      </c>
      <c r="F40">
        <f t="shared" si="3"/>
        <v>61.278599999999997</v>
      </c>
      <c r="G40">
        <v>2023</v>
      </c>
      <c r="H40" s="9">
        <f>IFERROR((E40*VLOOKUP(I40,INDICES!$I$13:$J$58,2,0)/VLOOKUP(G40,INDICES!$I$13:$J$58,2,0)),0)</f>
        <v>6.3378813525118399E-2</v>
      </c>
      <c r="I40">
        <v>2025</v>
      </c>
      <c r="J40" t="s">
        <v>140</v>
      </c>
      <c r="M40" t="s">
        <v>140</v>
      </c>
    </row>
    <row r="41" spans="1:13" ht="15" thickBot="1">
      <c r="A41" s="2" t="s">
        <v>53</v>
      </c>
      <c r="B41" s="4">
        <v>2.2400000000000002</v>
      </c>
      <c r="C41" s="3">
        <f t="shared" si="0"/>
        <v>2.1232227488151661E-6</v>
      </c>
      <c r="D41" s="12">
        <f t="shared" si="1"/>
        <v>39.155200000000008</v>
      </c>
      <c r="E41">
        <f t="shared" si="4"/>
        <v>4.3164800000000003E-2</v>
      </c>
      <c r="F41">
        <f t="shared" si="3"/>
        <v>43.1648</v>
      </c>
      <c r="G41">
        <v>2023</v>
      </c>
      <c r="H41" s="9">
        <f>IFERROR((E41*VLOOKUP(I41,INDICES!$I$13:$J$58,2,0)/VLOOKUP(G41,INDICES!$I$13:$J$58,2,0)),0)</f>
        <v>4.4644195690649438E-2</v>
      </c>
      <c r="I41">
        <v>2025</v>
      </c>
      <c r="J41" t="s">
        <v>141</v>
      </c>
      <c r="M41" t="s">
        <v>141</v>
      </c>
    </row>
    <row r="42" spans="1:13" ht="15" thickBot="1">
      <c r="A42" s="2" t="s">
        <v>54</v>
      </c>
      <c r="B42" s="4">
        <v>2.59</v>
      </c>
      <c r="C42" s="3">
        <f t="shared" si="0"/>
        <v>2.4549763033175356E-6</v>
      </c>
      <c r="D42" s="12">
        <f t="shared" si="1"/>
        <v>45.273200000000003</v>
      </c>
      <c r="E42">
        <f t="shared" si="4"/>
        <v>4.990929999999999E-2</v>
      </c>
      <c r="F42">
        <f t="shared" si="3"/>
        <v>49.909299999999988</v>
      </c>
      <c r="G42">
        <v>2023</v>
      </c>
      <c r="H42" s="9">
        <f>IFERROR((E42*VLOOKUP(I42,INDICES!$I$13:$J$58,2,0)/VLOOKUP(G42,INDICES!$I$13:$J$58,2,0)),0)</f>
        <v>5.1619851267313402E-2</v>
      </c>
      <c r="I42">
        <v>2025</v>
      </c>
      <c r="J42" t="s">
        <v>142</v>
      </c>
      <c r="M42" t="s">
        <v>142</v>
      </c>
    </row>
    <row r="43" spans="1:13" ht="15" thickBot="1">
      <c r="A43" s="2" t="s">
        <v>55</v>
      </c>
      <c r="B43" s="4">
        <v>3.28</v>
      </c>
      <c r="C43" s="3">
        <f t="shared" si="0"/>
        <v>3.1090047393364929E-6</v>
      </c>
      <c r="D43" s="12">
        <f t="shared" si="1"/>
        <v>57.334400000000002</v>
      </c>
      <c r="E43">
        <f t="shared" si="4"/>
        <v>6.3205599999999987E-2</v>
      </c>
      <c r="F43">
        <f t="shared" si="3"/>
        <v>63.20559999999999</v>
      </c>
      <c r="G43">
        <v>2023</v>
      </c>
      <c r="H43" s="9">
        <f>IFERROR((E43*VLOOKUP(I43,INDICES!$I$13:$J$58,2,0)/VLOOKUP(G43,INDICES!$I$13:$J$58,2,0)),0)</f>
        <v>6.5371857975593806E-2</v>
      </c>
      <c r="I43">
        <v>2025</v>
      </c>
      <c r="J43" t="s">
        <v>143</v>
      </c>
      <c r="M43" t="s">
        <v>143</v>
      </c>
    </row>
    <row r="44" spans="1:13" ht="15" thickBot="1">
      <c r="A44" s="2" t="s">
        <v>56</v>
      </c>
      <c r="B44" s="4">
        <v>3.23</v>
      </c>
      <c r="C44" s="3">
        <f t="shared" si="0"/>
        <v>3.0616113744075829E-6</v>
      </c>
      <c r="D44" s="12">
        <f t="shared" si="1"/>
        <v>56.4604</v>
      </c>
      <c r="E44">
        <f t="shared" si="4"/>
        <v>6.2242099999999995E-2</v>
      </c>
      <c r="F44">
        <f t="shared" si="3"/>
        <v>62.242099999999994</v>
      </c>
      <c r="G44">
        <v>2023</v>
      </c>
      <c r="H44" s="9">
        <f>IFERROR((E44*VLOOKUP(I44,INDICES!$I$13:$J$58,2,0)/VLOOKUP(G44,INDICES!$I$13:$J$58,2,0)),0)</f>
        <v>6.4375335750356102E-2</v>
      </c>
      <c r="I44">
        <v>2025</v>
      </c>
      <c r="J44" t="s">
        <v>144</v>
      </c>
      <c r="M44" t="s">
        <v>144</v>
      </c>
    </row>
    <row r="45" spans="1:13" ht="15" thickBot="1">
      <c r="A45" s="2" t="s">
        <v>57</v>
      </c>
      <c r="B45" s="4">
        <v>3.06</v>
      </c>
      <c r="C45" s="3">
        <f t="shared" si="0"/>
        <v>2.9004739336492891E-6</v>
      </c>
      <c r="D45" s="12">
        <f t="shared" si="1"/>
        <v>53.488800000000005</v>
      </c>
      <c r="E45">
        <f t="shared" si="4"/>
        <v>5.8966199999999996E-2</v>
      </c>
      <c r="F45">
        <f t="shared" si="3"/>
        <v>58.966199999999994</v>
      </c>
      <c r="G45">
        <v>2023</v>
      </c>
      <c r="H45" s="9">
        <f>IFERROR((E45*VLOOKUP(I45,INDICES!$I$13:$J$58,2,0)/VLOOKUP(G45,INDICES!$I$13:$J$58,2,0)),0)</f>
        <v>6.0987160184547896E-2</v>
      </c>
      <c r="I45">
        <v>2025</v>
      </c>
      <c r="J45" t="s">
        <v>145</v>
      </c>
      <c r="M45" t="s">
        <v>145</v>
      </c>
    </row>
    <row r="46" spans="1:13" ht="15" thickBot="1">
      <c r="A46" s="2" t="s">
        <v>58</v>
      </c>
      <c r="B46" s="4">
        <v>2.65</v>
      </c>
      <c r="C46" s="3">
        <f t="shared" si="0"/>
        <v>2.5118483412322274E-6</v>
      </c>
      <c r="D46" s="12">
        <f t="shared" si="1"/>
        <v>46.322000000000003</v>
      </c>
      <c r="E46">
        <f t="shared" si="4"/>
        <v>5.1065499999999993E-2</v>
      </c>
      <c r="F46">
        <f t="shared" si="3"/>
        <v>51.065499999999993</v>
      </c>
      <c r="G46">
        <v>2023</v>
      </c>
      <c r="H46" s="9">
        <f>IFERROR((E46*VLOOKUP(I46,INDICES!$I$13:$J$58,2,0)/VLOOKUP(G46,INDICES!$I$13:$J$58,2,0)),0)</f>
        <v>5.2815677937598657E-2</v>
      </c>
      <c r="I46">
        <v>2025</v>
      </c>
      <c r="J46" t="s">
        <v>146</v>
      </c>
      <c r="M46" t="s">
        <v>146</v>
      </c>
    </row>
    <row r="47" spans="1:13" ht="15" thickBot="1">
      <c r="A47" s="2" t="s">
        <v>59</v>
      </c>
      <c r="B47" s="4">
        <v>3.11</v>
      </c>
      <c r="C47" s="3">
        <f t="shared" si="0"/>
        <v>2.947867298578199E-6</v>
      </c>
      <c r="D47" s="12">
        <f t="shared" si="1"/>
        <v>54.3628</v>
      </c>
      <c r="E47">
        <f t="shared" si="4"/>
        <v>5.9929699999999989E-2</v>
      </c>
      <c r="F47">
        <f t="shared" si="3"/>
        <v>59.92969999999999</v>
      </c>
      <c r="G47">
        <v>2023</v>
      </c>
      <c r="H47" s="9">
        <f>IFERROR((E47*VLOOKUP(I47,INDICES!$I$13:$J$58,2,0)/VLOOKUP(G47,INDICES!$I$13:$J$58,2,0)),0)</f>
        <v>6.1983682409785586E-2</v>
      </c>
      <c r="I47">
        <v>2025</v>
      </c>
      <c r="J47" t="s">
        <v>147</v>
      </c>
      <c r="M47" t="s">
        <v>147</v>
      </c>
    </row>
    <row r="48" spans="1:13" ht="15" thickBot="1">
      <c r="A48" s="2" t="s">
        <v>60</v>
      </c>
      <c r="B48" s="4">
        <v>3.05</v>
      </c>
      <c r="C48" s="3">
        <f t="shared" si="0"/>
        <v>2.8909952606635068E-6</v>
      </c>
      <c r="D48" s="12">
        <f t="shared" si="1"/>
        <v>53.314</v>
      </c>
      <c r="E48">
        <f t="shared" si="4"/>
        <v>5.8773499999999992E-2</v>
      </c>
      <c r="F48">
        <f t="shared" si="3"/>
        <v>58.773499999999991</v>
      </c>
      <c r="G48">
        <v>2023</v>
      </c>
      <c r="H48" s="9">
        <f>IFERROR((E48*VLOOKUP(I48,INDICES!$I$13:$J$58,2,0)/VLOOKUP(G48,INDICES!$I$13:$J$58,2,0)),0)</f>
        <v>6.0787855739500345E-2</v>
      </c>
      <c r="I48">
        <v>2025</v>
      </c>
      <c r="J48" t="s">
        <v>149</v>
      </c>
      <c r="M48" t="s">
        <v>148</v>
      </c>
    </row>
    <row r="49" spans="1:13" ht="15" thickBot="1">
      <c r="A49" s="2" t="s">
        <v>61</v>
      </c>
      <c r="B49" s="4">
        <v>3.26</v>
      </c>
      <c r="C49" s="3">
        <f t="shared" si="0"/>
        <v>3.0900473933649288E-6</v>
      </c>
      <c r="D49" s="12">
        <f t="shared" si="1"/>
        <v>56.9848</v>
      </c>
      <c r="E49">
        <f t="shared" si="4"/>
        <v>6.2820199999999993E-2</v>
      </c>
      <c r="F49">
        <f t="shared" si="3"/>
        <v>62.820199999999993</v>
      </c>
      <c r="G49">
        <v>2023</v>
      </c>
      <c r="H49" s="9">
        <f>IFERROR((E49*VLOOKUP(I49,INDICES!$I$13:$J$58,2,0)/VLOOKUP(G49,INDICES!$I$13:$J$58,2,0)),0)</f>
        <v>6.4973249085498716E-2</v>
      </c>
      <c r="I49">
        <v>2025</v>
      </c>
      <c r="J49" t="s">
        <v>148</v>
      </c>
      <c r="M49" t="s">
        <v>149</v>
      </c>
    </row>
    <row r="50" spans="1:13" ht="15" thickBot="1">
      <c r="A50" s="2" t="s">
        <v>62</v>
      </c>
      <c r="B50" s="4">
        <v>3.22</v>
      </c>
      <c r="C50" s="3">
        <f t="shared" si="0"/>
        <v>3.0521327014218011E-6</v>
      </c>
      <c r="D50" s="12">
        <f t="shared" si="1"/>
        <v>56.285600000000009</v>
      </c>
      <c r="E50">
        <f t="shared" si="4"/>
        <v>6.2049399999999998E-2</v>
      </c>
      <c r="F50">
        <f t="shared" si="3"/>
        <v>62.049399999999999</v>
      </c>
      <c r="G50">
        <v>2023</v>
      </c>
      <c r="H50" s="9">
        <f>IFERROR((E50*VLOOKUP(I50,INDICES!$I$13:$J$58,2,0)/VLOOKUP(G50,INDICES!$I$13:$J$58,2,0)),0)</f>
        <v>6.4176031305308565E-2</v>
      </c>
      <c r="I50">
        <v>2025</v>
      </c>
      <c r="J50" t="s">
        <v>150</v>
      </c>
      <c r="M50" t="s">
        <v>150</v>
      </c>
    </row>
    <row r="51" spans="1:13" ht="15" thickBot="1">
      <c r="A51" s="2" t="s">
        <v>63</v>
      </c>
      <c r="B51" s="4">
        <v>2.5</v>
      </c>
      <c r="C51" s="3">
        <f t="shared" si="0"/>
        <v>2.3696682464454976E-6</v>
      </c>
      <c r="D51" s="12">
        <f t="shared" si="1"/>
        <v>43.7</v>
      </c>
      <c r="E51">
        <f t="shared" si="4"/>
        <v>4.8174999999999996E-2</v>
      </c>
      <c r="F51">
        <f t="shared" si="3"/>
        <v>48.174999999999997</v>
      </c>
      <c r="G51">
        <v>2023</v>
      </c>
      <c r="H51" s="9">
        <f>IFERROR((E51*VLOOKUP(I51,INDICES!$I$13:$J$58,2,0)/VLOOKUP(G51,INDICES!$I$13:$J$58,2,0)),0)</f>
        <v>4.9826111261885533E-2</v>
      </c>
      <c r="I51">
        <v>2025</v>
      </c>
      <c r="J51" t="s">
        <v>152</v>
      </c>
      <c r="M51" t="s">
        <v>151</v>
      </c>
    </row>
    <row r="52" spans="1:13" ht="15" thickBot="1">
      <c r="A52" s="2" t="s">
        <v>64</v>
      </c>
      <c r="B52" s="4">
        <v>2.96</v>
      </c>
      <c r="C52" s="3">
        <f t="shared" si="0"/>
        <v>2.8056872037914692E-6</v>
      </c>
      <c r="D52" s="12">
        <f t="shared" si="1"/>
        <v>51.7408</v>
      </c>
      <c r="E52">
        <f t="shared" si="4"/>
        <v>5.7039199999999991E-2</v>
      </c>
      <c r="F52">
        <f t="shared" si="3"/>
        <v>57.039199999999994</v>
      </c>
      <c r="G52">
        <v>2023</v>
      </c>
      <c r="H52" s="9">
        <f>IFERROR((E52*VLOOKUP(I52,INDICES!$I$13:$J$58,2,0)/VLOOKUP(G52,INDICES!$I$13:$J$58,2,0)),0)</f>
        <v>5.8994115734072462E-2</v>
      </c>
      <c r="I52">
        <v>2025</v>
      </c>
      <c r="J52" t="s">
        <v>151</v>
      </c>
      <c r="M52" t="s">
        <v>152</v>
      </c>
    </row>
    <row r="53" spans="1:13" ht="15" thickBot="1">
      <c r="A53" s="2" t="s">
        <v>65</v>
      </c>
      <c r="B53" s="4">
        <v>2.94</v>
      </c>
      <c r="C53" s="3">
        <f t="shared" si="0"/>
        <v>2.7867298578199052E-6</v>
      </c>
      <c r="D53" s="12">
        <f t="shared" si="1"/>
        <v>51.391200000000005</v>
      </c>
      <c r="E53">
        <f t="shared" si="4"/>
        <v>5.665379999999999E-2</v>
      </c>
      <c r="F53">
        <f t="shared" si="3"/>
        <v>56.65379999999999</v>
      </c>
      <c r="G53">
        <v>2023</v>
      </c>
      <c r="H53" s="9">
        <f>IFERROR((E53*VLOOKUP(I53,INDICES!$I$13:$J$58,2,0)/VLOOKUP(G53,INDICES!$I$13:$J$58,2,0)),0)</f>
        <v>5.859550684397738E-2</v>
      </c>
      <c r="I53">
        <v>2025</v>
      </c>
      <c r="J53" t="s">
        <v>153</v>
      </c>
      <c r="M53" t="s">
        <v>153</v>
      </c>
    </row>
    <row r="54" spans="1:13" ht="15" thickBot="1">
      <c r="A54" s="2" t="s">
        <v>66</v>
      </c>
      <c r="B54" s="4">
        <v>3.1</v>
      </c>
      <c r="C54" s="3">
        <f t="shared" si="0"/>
        <v>2.9383886255924172E-6</v>
      </c>
      <c r="D54" s="12">
        <f t="shared" si="1"/>
        <v>54.188000000000002</v>
      </c>
      <c r="E54">
        <f t="shared" si="4"/>
        <v>5.9736999999999998E-2</v>
      </c>
      <c r="F54">
        <f t="shared" si="3"/>
        <v>59.737000000000002</v>
      </c>
      <c r="G54">
        <v>2023</v>
      </c>
      <c r="H54" s="9">
        <f>IFERROR((E54*VLOOKUP(I54,INDICES!$I$13:$J$58,2,0)/VLOOKUP(G54,INDICES!$I$13:$J$58,2,0)),0)</f>
        <v>6.1784377964738062E-2</v>
      </c>
      <c r="I54">
        <v>2025</v>
      </c>
    </row>
  </sheetData>
  <mergeCells count="1">
    <mergeCell ref="B1:F1"/>
  </mergeCells>
  <hyperlinks>
    <hyperlink ref="N5" r:id="rId1" xr:uid="{3B0FB3C6-F7AE-41D0-9766-BCE0B8231444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2D5F-47A0-4595-92D0-3647A0F39D38}">
  <dimension ref="A1:D52"/>
  <sheetViews>
    <sheetView workbookViewId="0">
      <selection activeCell="G2" sqref="G2"/>
    </sheetView>
  </sheetViews>
  <sheetFormatPr defaultRowHeight="14.4"/>
  <cols>
    <col min="1" max="1" width="16.5546875" customWidth="1"/>
    <col min="2" max="3" width="10.77734375" customWidth="1"/>
  </cols>
  <sheetData>
    <row r="1" spans="1:4">
      <c r="A1" t="s">
        <v>1</v>
      </c>
      <c r="B1" t="s">
        <v>183</v>
      </c>
      <c r="C1" t="s">
        <v>190</v>
      </c>
      <c r="D1" t="s">
        <v>103</v>
      </c>
    </row>
    <row r="2" spans="1:4">
      <c r="A2" t="s">
        <v>13</v>
      </c>
      <c r="B2">
        <v>6.6169075755783971E-2</v>
      </c>
      <c r="C2">
        <f>B2+logistics!$E$11</f>
        <v>0.10632507824091753</v>
      </c>
      <c r="D2" t="s">
        <v>105</v>
      </c>
    </row>
    <row r="3" spans="1:4">
      <c r="A3" t="s">
        <v>14</v>
      </c>
      <c r="B3">
        <v>3.02942756472264E-2</v>
      </c>
      <c r="C3">
        <f>B3+logistics!$E$11</f>
        <v>7.0450278132359948E-2</v>
      </c>
      <c r="D3" t="s">
        <v>104</v>
      </c>
    </row>
    <row r="4" spans="1:4">
      <c r="A4" t="s">
        <v>16</v>
      </c>
      <c r="B4">
        <v>5.9990637959310165E-2</v>
      </c>
      <c r="C4">
        <f>B4+logistics!$E$11</f>
        <v>0.10014664044444371</v>
      </c>
      <c r="D4" t="s">
        <v>107</v>
      </c>
    </row>
    <row r="5" spans="1:4">
      <c r="A5" t="s">
        <v>17</v>
      </c>
      <c r="B5">
        <v>6.4973249085498716E-2</v>
      </c>
      <c r="C5">
        <f>B5+logistics!$E$11</f>
        <v>0.10512925157063227</v>
      </c>
      <c r="D5" t="s">
        <v>106</v>
      </c>
    </row>
    <row r="6" spans="1:4">
      <c r="A6" t="s">
        <v>18</v>
      </c>
      <c r="B6">
        <v>6.2780900189975772E-2</v>
      </c>
      <c r="C6">
        <f>B6+logistics!$E$11</f>
        <v>0.10293690267510933</v>
      </c>
      <c r="D6" t="s">
        <v>108</v>
      </c>
    </row>
    <row r="7" spans="1:4">
      <c r="A7" t="s">
        <v>19</v>
      </c>
      <c r="B7">
        <v>6.0787855739500345E-2</v>
      </c>
      <c r="C7">
        <f>B7+logistics!$E$11</f>
        <v>0.10094385822463389</v>
      </c>
      <c r="D7" t="s">
        <v>109</v>
      </c>
    </row>
    <row r="8" spans="1:4">
      <c r="A8" t="s">
        <v>20</v>
      </c>
      <c r="B8">
        <v>5.4410113497979001E-2</v>
      </c>
      <c r="C8">
        <f>B8+logistics!$E$11</f>
        <v>9.4566115983112542E-2</v>
      </c>
      <c r="D8" t="s">
        <v>110</v>
      </c>
    </row>
    <row r="9" spans="1:4">
      <c r="A9" t="s">
        <v>21</v>
      </c>
      <c r="B9">
        <v>2.3318620070562426E-2</v>
      </c>
      <c r="C9">
        <f>B9+logistics!$E$11</f>
        <v>6.347462255569597E-2</v>
      </c>
      <c r="D9" t="s">
        <v>111</v>
      </c>
    </row>
    <row r="10" spans="1:4">
      <c r="A10" t="s">
        <v>22</v>
      </c>
      <c r="B10">
        <v>5.2815677937598657E-2</v>
      </c>
      <c r="C10">
        <f>B10+logistics!$E$11</f>
        <v>9.2971680422732211E-2</v>
      </c>
      <c r="D10" t="s">
        <v>154</v>
      </c>
    </row>
    <row r="11" spans="1:4">
      <c r="A11" t="s">
        <v>23</v>
      </c>
      <c r="B11">
        <v>5.1221242377218319E-2</v>
      </c>
      <c r="C11">
        <f>B11+logistics!$E$11</f>
        <v>9.1377244862351867E-2</v>
      </c>
      <c r="D11" t="s">
        <v>112</v>
      </c>
    </row>
    <row r="12" spans="1:4">
      <c r="A12" t="s">
        <v>24</v>
      </c>
      <c r="B12">
        <v>6.5770466865688895E-2</v>
      </c>
      <c r="C12">
        <f>B12+logistics!$E$11</f>
        <v>0.10592646935082245</v>
      </c>
      <c r="D12" t="s">
        <v>113</v>
      </c>
    </row>
    <row r="13" spans="1:4">
      <c r="A13" t="s">
        <v>25</v>
      </c>
      <c r="B13">
        <v>5.9392724624167545E-2</v>
      </c>
      <c r="C13">
        <f>B13+logistics!$E$11</f>
        <v>9.9548727109301099E-2</v>
      </c>
      <c r="D13" t="s">
        <v>114</v>
      </c>
    </row>
    <row r="14" spans="1:4">
      <c r="A14" t="s">
        <v>26</v>
      </c>
      <c r="B14">
        <v>6.5969771310736447E-2</v>
      </c>
      <c r="C14">
        <f>B14+logistics!$E$11</f>
        <v>0.10612577379586999</v>
      </c>
      <c r="D14" t="s">
        <v>116</v>
      </c>
    </row>
    <row r="15" spans="1:4">
      <c r="A15" t="s">
        <v>27</v>
      </c>
      <c r="B15">
        <v>4.6238631251029769E-2</v>
      </c>
      <c r="C15">
        <f>B15+logistics!$E$11</f>
        <v>8.6394633736163323E-2</v>
      </c>
      <c r="D15" t="s">
        <v>117</v>
      </c>
    </row>
    <row r="16" spans="1:4">
      <c r="A16" t="s">
        <v>28</v>
      </c>
      <c r="B16">
        <v>5.2018460157408485E-2</v>
      </c>
      <c r="C16">
        <f>B16+logistics!$E$11</f>
        <v>9.2174462642542032E-2</v>
      </c>
      <c r="D16" t="s">
        <v>118</v>
      </c>
    </row>
    <row r="17" spans="1:4">
      <c r="A17" t="s">
        <v>29</v>
      </c>
      <c r="B17">
        <v>5.2815677937598657E-2</v>
      </c>
      <c r="C17">
        <f>B17+logistics!$E$11</f>
        <v>9.2971680422732211E-2</v>
      </c>
      <c r="D17" t="s">
        <v>115</v>
      </c>
    </row>
    <row r="18" spans="1:4">
      <c r="A18" t="s">
        <v>30</v>
      </c>
      <c r="B18">
        <v>2.4115837850752594E-2</v>
      </c>
      <c r="C18">
        <f>B18+logistics!$E$11</f>
        <v>6.4271840335886149E-2</v>
      </c>
      <c r="D18" t="s">
        <v>119</v>
      </c>
    </row>
    <row r="19" spans="1:4">
      <c r="A19" t="s">
        <v>31</v>
      </c>
      <c r="B19">
        <v>6.0787855739500345E-2</v>
      </c>
      <c r="C19">
        <f>B19+logistics!$E$11</f>
        <v>0.10094385822463389</v>
      </c>
      <c r="D19" t="s">
        <v>120</v>
      </c>
    </row>
    <row r="20" spans="1:4">
      <c r="A20" t="s">
        <v>32</v>
      </c>
      <c r="B20">
        <v>6.2780900189975772E-2</v>
      </c>
      <c r="C20">
        <f>B20+logistics!$E$11</f>
        <v>0.10293690267510933</v>
      </c>
      <c r="D20" t="s">
        <v>121</v>
      </c>
    </row>
    <row r="21" spans="1:4">
      <c r="A21" t="s">
        <v>33</v>
      </c>
      <c r="B21">
        <v>6.5371857975593806E-2</v>
      </c>
      <c r="C21">
        <f>B21+logistics!$E$11</f>
        <v>0.10552786046072735</v>
      </c>
      <c r="D21" t="s">
        <v>124</v>
      </c>
    </row>
    <row r="22" spans="1:4">
      <c r="A22" t="s">
        <v>34</v>
      </c>
      <c r="B22">
        <v>5.2815677937598657E-2</v>
      </c>
      <c r="C22">
        <f>B22+logistics!$E$11</f>
        <v>9.2971680422732211E-2</v>
      </c>
      <c r="D22" t="s">
        <v>123</v>
      </c>
    </row>
    <row r="23" spans="1:4">
      <c r="A23" t="s">
        <v>35</v>
      </c>
      <c r="B23">
        <v>4.8630284591600272E-2</v>
      </c>
      <c r="C23">
        <f>B23+logistics!$E$11</f>
        <v>8.8786287076733819E-2</v>
      </c>
      <c r="D23" t="s">
        <v>122</v>
      </c>
    </row>
    <row r="24" spans="1:4">
      <c r="A24" t="s">
        <v>36</v>
      </c>
      <c r="B24">
        <v>5.8994115734072462E-2</v>
      </c>
      <c r="C24">
        <f>B24+logistics!$E$11</f>
        <v>9.915011821920601E-2</v>
      </c>
      <c r="D24" t="s">
        <v>125</v>
      </c>
    </row>
    <row r="25" spans="1:4">
      <c r="A25" t="s">
        <v>37</v>
      </c>
      <c r="B25">
        <v>6.5172553530546268E-2</v>
      </c>
      <c r="C25">
        <f>B25+logistics!$E$11</f>
        <v>0.10532855601567981</v>
      </c>
      <c r="D25" t="s">
        <v>126</v>
      </c>
    </row>
    <row r="26" spans="1:4">
      <c r="A26" t="s">
        <v>38</v>
      </c>
      <c r="B26">
        <v>6.5571162420641357E-2</v>
      </c>
      <c r="C26">
        <f>B26+logistics!$E$11</f>
        <v>0.10572716490577491</v>
      </c>
      <c r="D26" t="s">
        <v>128</v>
      </c>
    </row>
    <row r="27" spans="1:4">
      <c r="A27" t="s">
        <v>39</v>
      </c>
      <c r="B27">
        <v>5.4210809052931457E-2</v>
      </c>
      <c r="C27">
        <f>B27+logistics!$E$11</f>
        <v>9.4366811538065004E-2</v>
      </c>
      <c r="D27" t="s">
        <v>127</v>
      </c>
    </row>
    <row r="28" spans="1:4">
      <c r="A28" t="s">
        <v>40</v>
      </c>
      <c r="B28">
        <v>5.5805244613311794E-2</v>
      </c>
      <c r="C28">
        <f>B28+logistics!$E$11</f>
        <v>9.5961247098445335E-2</v>
      </c>
      <c r="D28" t="s">
        <v>129</v>
      </c>
    </row>
    <row r="29" spans="1:4">
      <c r="A29" t="s">
        <v>41</v>
      </c>
      <c r="B29">
        <v>2.6507491191323101E-2</v>
      </c>
      <c r="C29">
        <f>B29+logistics!$E$11</f>
        <v>6.6663493676456645E-2</v>
      </c>
      <c r="D29" t="s">
        <v>132</v>
      </c>
    </row>
    <row r="30" spans="1:4">
      <c r="A30" t="s">
        <v>42</v>
      </c>
      <c r="B30">
        <v>5.9990637959310165E-2</v>
      </c>
      <c r="C30">
        <f>B30+logistics!$E$11</f>
        <v>0.10014664044444371</v>
      </c>
      <c r="D30" t="s">
        <v>136</v>
      </c>
    </row>
    <row r="31" spans="1:4">
      <c r="A31" t="s">
        <v>43</v>
      </c>
      <c r="B31">
        <v>3.3483146767987068E-2</v>
      </c>
      <c r="C31">
        <f>B31+logistics!$E$11</f>
        <v>7.3639149253120623E-2</v>
      </c>
      <c r="D31" t="s">
        <v>133</v>
      </c>
    </row>
    <row r="32" spans="1:4">
      <c r="A32" t="s">
        <v>44</v>
      </c>
      <c r="B32">
        <v>4.3846977910459273E-2</v>
      </c>
      <c r="C32">
        <f>B32+logistics!$E$11</f>
        <v>8.4002980395592813E-2</v>
      </c>
      <c r="D32" t="s">
        <v>134</v>
      </c>
    </row>
    <row r="33" spans="1:4">
      <c r="A33" t="s">
        <v>45</v>
      </c>
      <c r="B33">
        <v>6.8760033541402032E-2</v>
      </c>
      <c r="C33">
        <f>B33+logistics!$E$11</f>
        <v>0.10891603602653557</v>
      </c>
      <c r="D33" t="s">
        <v>135</v>
      </c>
    </row>
    <row r="34" spans="1:4">
      <c r="A34" t="s">
        <v>47</v>
      </c>
      <c r="B34">
        <v>5.4808722388074084E-2</v>
      </c>
      <c r="C34">
        <f>B34+logistics!$E$11</f>
        <v>9.4964724873207632E-2</v>
      </c>
      <c r="D34" t="s">
        <v>137</v>
      </c>
    </row>
    <row r="35" spans="1:4">
      <c r="A35" t="s">
        <v>48</v>
      </c>
      <c r="B35">
        <v>6.5571162420641357E-2</v>
      </c>
      <c r="C35">
        <f>B35+logistics!$E$11</f>
        <v>0.10572716490577491</v>
      </c>
      <c r="D35" t="s">
        <v>130</v>
      </c>
    </row>
    <row r="36" spans="1:4">
      <c r="A36" t="s">
        <v>49</v>
      </c>
      <c r="B36">
        <v>5.0424024597028154E-2</v>
      </c>
      <c r="C36">
        <f>B36+logistics!$E$11</f>
        <v>9.0580027082161702E-2</v>
      </c>
      <c r="D36" t="s">
        <v>131</v>
      </c>
    </row>
    <row r="37" spans="1:4">
      <c r="A37" t="s">
        <v>50</v>
      </c>
      <c r="B37">
        <v>4.6039326805982231E-2</v>
      </c>
      <c r="C37">
        <f>B37+logistics!$E$11</f>
        <v>8.6195329291115785E-2</v>
      </c>
      <c r="D37" t="s">
        <v>138</v>
      </c>
    </row>
    <row r="38" spans="1:4">
      <c r="A38" t="s">
        <v>51</v>
      </c>
      <c r="B38">
        <v>5.2616373492551119E-2</v>
      </c>
      <c r="C38">
        <f>B38+logistics!$E$11</f>
        <v>9.2772375977684673E-2</v>
      </c>
      <c r="D38" t="s">
        <v>139</v>
      </c>
    </row>
    <row r="39" spans="1:4">
      <c r="A39" t="s">
        <v>52</v>
      </c>
      <c r="B39">
        <v>6.3378813525118399E-2</v>
      </c>
      <c r="C39">
        <f>B39+logistics!$E$11</f>
        <v>0.10353481601025194</v>
      </c>
      <c r="D39" t="s">
        <v>140</v>
      </c>
    </row>
    <row r="40" spans="1:4">
      <c r="A40" t="s">
        <v>53</v>
      </c>
      <c r="B40">
        <v>4.4644195690649438E-2</v>
      </c>
      <c r="C40">
        <f>B40+logistics!$E$11</f>
        <v>8.4800198175782993E-2</v>
      </c>
      <c r="D40" t="s">
        <v>141</v>
      </c>
    </row>
    <row r="41" spans="1:4">
      <c r="A41" t="s">
        <v>54</v>
      </c>
      <c r="B41">
        <v>5.1619851267313402E-2</v>
      </c>
      <c r="C41">
        <f>B41+logistics!$E$11</f>
        <v>9.1775853752446956E-2</v>
      </c>
      <c r="D41" t="s">
        <v>142</v>
      </c>
    </row>
    <row r="42" spans="1:4">
      <c r="A42" t="s">
        <v>55</v>
      </c>
      <c r="B42">
        <v>6.5371857975593806E-2</v>
      </c>
      <c r="C42">
        <f>B42+logistics!$E$11</f>
        <v>0.10552786046072735</v>
      </c>
      <c r="D42" t="s">
        <v>143</v>
      </c>
    </row>
    <row r="43" spans="1:4">
      <c r="A43" t="s">
        <v>56</v>
      </c>
      <c r="B43">
        <v>6.4375335750356102E-2</v>
      </c>
      <c r="C43">
        <f>B43+logistics!$E$11</f>
        <v>0.10453133823548966</v>
      </c>
      <c r="D43" t="s">
        <v>144</v>
      </c>
    </row>
    <row r="44" spans="1:4">
      <c r="A44" t="s">
        <v>57</v>
      </c>
      <c r="B44">
        <v>6.0987160184547896E-2</v>
      </c>
      <c r="C44">
        <f>B44+logistics!$E$11</f>
        <v>0.10114316266968144</v>
      </c>
      <c r="D44" t="s">
        <v>145</v>
      </c>
    </row>
    <row r="45" spans="1:4">
      <c r="A45" t="s">
        <v>58</v>
      </c>
      <c r="B45">
        <v>5.2815677937598657E-2</v>
      </c>
      <c r="C45">
        <f>B45+logistics!$E$11</f>
        <v>9.2971680422732211E-2</v>
      </c>
      <c r="D45" t="s">
        <v>146</v>
      </c>
    </row>
    <row r="46" spans="1:4">
      <c r="A46" t="s">
        <v>59</v>
      </c>
      <c r="B46">
        <v>6.1983682409785586E-2</v>
      </c>
      <c r="C46">
        <f>B46+logistics!$E$11</f>
        <v>0.10213968489491913</v>
      </c>
      <c r="D46" t="s">
        <v>147</v>
      </c>
    </row>
    <row r="47" spans="1:4">
      <c r="A47" t="s">
        <v>60</v>
      </c>
      <c r="B47">
        <v>6.0787855739500345E-2</v>
      </c>
      <c r="C47">
        <f>B47+logistics!$E$11</f>
        <v>0.10094385822463389</v>
      </c>
      <c r="D47" t="s">
        <v>149</v>
      </c>
    </row>
    <row r="48" spans="1:4">
      <c r="A48" t="s">
        <v>61</v>
      </c>
      <c r="B48">
        <v>6.4973249085498716E-2</v>
      </c>
      <c r="C48">
        <f>B48+logistics!$E$11</f>
        <v>0.10512925157063227</v>
      </c>
      <c r="D48" t="s">
        <v>148</v>
      </c>
    </row>
    <row r="49" spans="1:4">
      <c r="A49" t="s">
        <v>62</v>
      </c>
      <c r="B49">
        <v>6.4176031305308565E-2</v>
      </c>
      <c r="C49">
        <f>B49+logistics!$E$11</f>
        <v>0.10433203379044212</v>
      </c>
      <c r="D49" t="s">
        <v>150</v>
      </c>
    </row>
    <row r="50" spans="1:4">
      <c r="A50" t="s">
        <v>63</v>
      </c>
      <c r="B50">
        <v>4.9826111261885533E-2</v>
      </c>
      <c r="C50">
        <f>B50+logistics!$E$11</f>
        <v>8.9982113747019088E-2</v>
      </c>
      <c r="D50" t="s">
        <v>152</v>
      </c>
    </row>
    <row r="51" spans="1:4">
      <c r="A51" t="s">
        <v>64</v>
      </c>
      <c r="B51">
        <v>5.8994115734072462E-2</v>
      </c>
      <c r="C51">
        <f>B51+logistics!$E$11</f>
        <v>9.915011821920601E-2</v>
      </c>
      <c r="D51" t="s">
        <v>151</v>
      </c>
    </row>
    <row r="52" spans="1:4">
      <c r="A52" t="s">
        <v>65</v>
      </c>
      <c r="B52">
        <v>5.859550684397738E-2</v>
      </c>
      <c r="C52">
        <f>B52+logistics!$E$11</f>
        <v>9.875150932911092E-2</v>
      </c>
      <c r="D52" t="s">
        <v>153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3DE4-B320-43DE-98BD-3E624D17716B}">
  <dimension ref="A1:I56"/>
  <sheetViews>
    <sheetView workbookViewId="0">
      <selection activeCell="D5" sqref="D5"/>
    </sheetView>
  </sheetViews>
  <sheetFormatPr defaultRowHeight="14.4"/>
  <cols>
    <col min="7" max="9" width="12.44140625" customWidth="1"/>
  </cols>
  <sheetData>
    <row r="1" spans="1:9" ht="15" thickBot="1">
      <c r="A1" s="28" t="s">
        <v>1</v>
      </c>
      <c r="B1" s="31" t="s">
        <v>2</v>
      </c>
      <c r="C1" s="32"/>
      <c r="D1" s="32"/>
      <c r="E1" s="32"/>
      <c r="F1" s="33"/>
    </row>
    <row r="2" spans="1:9" ht="15" thickBot="1">
      <c r="A2" s="29"/>
      <c r="B2" s="1" t="s">
        <v>4</v>
      </c>
      <c r="C2" s="31" t="s">
        <v>5</v>
      </c>
      <c r="D2" s="32"/>
      <c r="E2" s="33"/>
      <c r="F2" s="28" t="s">
        <v>6</v>
      </c>
    </row>
    <row r="3" spans="1:9" ht="40.200000000000003" thickBot="1">
      <c r="A3" s="29"/>
      <c r="B3" s="1" t="s">
        <v>7</v>
      </c>
      <c r="C3" s="1" t="s">
        <v>8</v>
      </c>
      <c r="D3" s="1" t="s">
        <v>9</v>
      </c>
      <c r="E3" s="1" t="s">
        <v>10</v>
      </c>
      <c r="F3" s="30"/>
      <c r="G3" s="8" t="s">
        <v>187</v>
      </c>
      <c r="H3" s="8" t="s">
        <v>188</v>
      </c>
      <c r="I3" s="8" t="s">
        <v>189</v>
      </c>
    </row>
    <row r="4" spans="1:9" ht="15" thickBot="1">
      <c r="A4" s="30"/>
      <c r="B4" s="34" t="s">
        <v>11</v>
      </c>
      <c r="C4" s="35"/>
      <c r="D4" s="35"/>
      <c r="E4" s="35"/>
      <c r="F4" s="36"/>
    </row>
    <row r="5" spans="1:9" ht="15" thickBot="1">
      <c r="A5" s="2" t="s">
        <v>13</v>
      </c>
      <c r="B5" s="3">
        <v>11.95</v>
      </c>
      <c r="C5" s="3">
        <v>11.95</v>
      </c>
      <c r="D5" s="3">
        <v>3.32</v>
      </c>
      <c r="E5" s="3">
        <v>2.93</v>
      </c>
      <c r="F5" s="3">
        <v>3.44</v>
      </c>
      <c r="G5">
        <f>C5/(1/17.48)</f>
        <v>208.886</v>
      </c>
      <c r="H5">
        <f>G5/1000</f>
        <v>0.20888599999999999</v>
      </c>
    </row>
    <row r="6" spans="1:9" ht="15" thickBot="1">
      <c r="A6" s="2" t="s">
        <v>14</v>
      </c>
      <c r="B6" s="4">
        <v>16.07</v>
      </c>
      <c r="C6" s="4">
        <v>5.7</v>
      </c>
      <c r="D6" s="4">
        <v>1.52</v>
      </c>
      <c r="E6" s="4" t="s">
        <v>15</v>
      </c>
      <c r="F6" s="4">
        <v>11.53</v>
      </c>
      <c r="G6">
        <f t="shared" ref="G6:G56" si="0">C6/(1/17.48)</f>
        <v>99.63600000000001</v>
      </c>
      <c r="H6">
        <f t="shared" ref="H6:H56" si="1">G6/1000</f>
        <v>9.9636000000000016E-2</v>
      </c>
    </row>
    <row r="7" spans="1:9" ht="15" thickBot="1">
      <c r="A7" s="2" t="s">
        <v>16</v>
      </c>
      <c r="B7" s="4">
        <v>16.07</v>
      </c>
      <c r="C7" s="4">
        <v>16.07</v>
      </c>
      <c r="D7" s="4">
        <v>3.01</v>
      </c>
      <c r="E7" s="4">
        <v>2.93</v>
      </c>
      <c r="F7" s="4">
        <v>7.29</v>
      </c>
      <c r="G7">
        <f t="shared" si="0"/>
        <v>280.90360000000004</v>
      </c>
      <c r="H7">
        <f t="shared" si="1"/>
        <v>0.28090360000000003</v>
      </c>
    </row>
    <row r="8" spans="1:9" ht="15" thickBot="1">
      <c r="A8" s="2" t="s">
        <v>17</v>
      </c>
      <c r="B8" s="4">
        <v>11.95</v>
      </c>
      <c r="C8" s="4">
        <v>11.84</v>
      </c>
      <c r="D8" s="4">
        <v>3.26</v>
      </c>
      <c r="E8" s="4">
        <v>2.93</v>
      </c>
      <c r="F8" s="4">
        <v>3.93</v>
      </c>
      <c r="G8">
        <f t="shared" si="0"/>
        <v>206.9632</v>
      </c>
      <c r="H8">
        <f t="shared" si="1"/>
        <v>0.20696320000000001</v>
      </c>
    </row>
    <row r="9" spans="1:9" ht="15" thickBot="1">
      <c r="A9" s="2" t="s">
        <v>18</v>
      </c>
      <c r="B9" s="4">
        <v>16.07</v>
      </c>
      <c r="C9" s="4">
        <v>3.23</v>
      </c>
      <c r="D9" s="4">
        <v>3.15</v>
      </c>
      <c r="E9" s="4">
        <v>2.93</v>
      </c>
      <c r="F9" s="4">
        <v>4.2</v>
      </c>
      <c r="G9">
        <f t="shared" si="0"/>
        <v>56.4604</v>
      </c>
      <c r="H9">
        <f t="shared" si="1"/>
        <v>5.6460400000000001E-2</v>
      </c>
    </row>
    <row r="10" spans="1:9" ht="15" thickBot="1">
      <c r="A10" s="2" t="s">
        <v>19</v>
      </c>
      <c r="B10" s="4">
        <v>16.07</v>
      </c>
      <c r="C10" s="4">
        <v>16.07</v>
      </c>
      <c r="D10" s="4">
        <v>3.05</v>
      </c>
      <c r="E10" s="4">
        <v>2.93</v>
      </c>
      <c r="F10" s="4">
        <v>10.09</v>
      </c>
      <c r="G10">
        <f t="shared" si="0"/>
        <v>280.90360000000004</v>
      </c>
      <c r="H10">
        <f t="shared" si="1"/>
        <v>0.28090360000000003</v>
      </c>
    </row>
    <row r="11" spans="1:9" ht="21" thickBot="1">
      <c r="A11" s="2" t="s">
        <v>20</v>
      </c>
      <c r="B11" s="4">
        <v>9.58</v>
      </c>
      <c r="C11" s="4">
        <v>9.58</v>
      </c>
      <c r="D11" s="4">
        <v>2.73</v>
      </c>
      <c r="E11" s="4">
        <v>2.93</v>
      </c>
      <c r="F11" s="4">
        <v>5.44</v>
      </c>
      <c r="G11">
        <f t="shared" si="0"/>
        <v>167.45840000000001</v>
      </c>
      <c r="H11">
        <f t="shared" si="1"/>
        <v>0.16745840000000001</v>
      </c>
    </row>
    <row r="12" spans="1:9" ht="15" thickBot="1">
      <c r="A12" s="2" t="s">
        <v>21</v>
      </c>
      <c r="B12" s="4">
        <v>11.95</v>
      </c>
      <c r="C12" s="4">
        <v>11.95</v>
      </c>
      <c r="D12" s="4">
        <v>1.17</v>
      </c>
      <c r="E12" s="4">
        <v>2.93</v>
      </c>
      <c r="F12" s="4">
        <v>4.99</v>
      </c>
      <c r="G12">
        <f t="shared" si="0"/>
        <v>208.886</v>
      </c>
      <c r="H12">
        <f t="shared" si="1"/>
        <v>0.20888599999999999</v>
      </c>
    </row>
    <row r="13" spans="1:9" ht="15" thickBot="1">
      <c r="A13" s="2" t="s">
        <v>22</v>
      </c>
      <c r="B13" s="4" t="s">
        <v>15</v>
      </c>
      <c r="C13" s="4">
        <v>1.01</v>
      </c>
      <c r="D13" s="7"/>
      <c r="E13" s="4" t="s">
        <v>15</v>
      </c>
      <c r="F13" s="4">
        <v>1.01</v>
      </c>
      <c r="G13">
        <f t="shared" si="0"/>
        <v>17.654800000000002</v>
      </c>
      <c r="H13">
        <f t="shared" si="1"/>
        <v>1.7654800000000002E-2</v>
      </c>
    </row>
    <row r="14" spans="1:9" ht="15" thickBot="1">
      <c r="A14" s="2" t="s">
        <v>23</v>
      </c>
      <c r="B14" s="4">
        <v>11.95</v>
      </c>
      <c r="C14" s="4">
        <v>1.03</v>
      </c>
      <c r="D14" s="4">
        <v>2.57</v>
      </c>
      <c r="E14" s="4">
        <v>2.62</v>
      </c>
      <c r="F14" s="4">
        <v>2.44</v>
      </c>
      <c r="G14">
        <f t="shared" si="0"/>
        <v>18.0044</v>
      </c>
      <c r="H14">
        <f t="shared" si="1"/>
        <v>1.80044E-2</v>
      </c>
    </row>
    <row r="15" spans="1:9" ht="15" thickBot="1">
      <c r="A15" s="2" t="s">
        <v>24</v>
      </c>
      <c r="B15" s="4">
        <v>11.95</v>
      </c>
      <c r="C15" s="4">
        <v>11.95</v>
      </c>
      <c r="D15" s="4">
        <v>3.3</v>
      </c>
      <c r="E15" s="4">
        <v>2.93</v>
      </c>
      <c r="F15" s="4">
        <v>3.36</v>
      </c>
      <c r="G15">
        <f t="shared" si="0"/>
        <v>208.886</v>
      </c>
      <c r="H15">
        <f t="shared" si="1"/>
        <v>0.20888599999999999</v>
      </c>
    </row>
    <row r="16" spans="1:9" ht="15" thickBot="1">
      <c r="A16" s="2" t="s">
        <v>25</v>
      </c>
      <c r="B16" s="4">
        <v>16.07</v>
      </c>
      <c r="C16" s="4">
        <v>1.02</v>
      </c>
      <c r="D16" s="4">
        <v>2.98</v>
      </c>
      <c r="E16" s="4">
        <v>2.93</v>
      </c>
      <c r="F16" s="4">
        <v>1.74</v>
      </c>
      <c r="G16">
        <f t="shared" si="0"/>
        <v>17.829600000000003</v>
      </c>
      <c r="H16">
        <f t="shared" si="1"/>
        <v>1.7829600000000004E-2</v>
      </c>
    </row>
    <row r="17" spans="1:8" ht="15" thickBot="1">
      <c r="A17" s="2" t="s">
        <v>26</v>
      </c>
      <c r="B17" s="4">
        <v>16.07</v>
      </c>
      <c r="C17" s="4">
        <v>9.34</v>
      </c>
      <c r="D17" s="4">
        <v>3.31</v>
      </c>
      <c r="E17" s="4">
        <v>2.93</v>
      </c>
      <c r="F17" s="4">
        <v>4.92</v>
      </c>
      <c r="G17">
        <f t="shared" si="0"/>
        <v>163.26320000000001</v>
      </c>
      <c r="H17">
        <f t="shared" si="1"/>
        <v>0.16326320000000002</v>
      </c>
    </row>
    <row r="18" spans="1:8" ht="15" thickBot="1">
      <c r="A18" s="2" t="s">
        <v>27</v>
      </c>
      <c r="B18" s="4">
        <v>12.07</v>
      </c>
      <c r="C18" s="4">
        <v>12.07</v>
      </c>
      <c r="D18" s="4">
        <v>2.3199999999999998</v>
      </c>
      <c r="E18" s="4">
        <v>0.71</v>
      </c>
      <c r="F18" s="4">
        <v>5.12</v>
      </c>
      <c r="G18">
        <f t="shared" si="0"/>
        <v>210.98360000000002</v>
      </c>
      <c r="H18">
        <f t="shared" si="1"/>
        <v>0.21098360000000002</v>
      </c>
    </row>
    <row r="19" spans="1:8" ht="15" thickBot="1">
      <c r="A19" s="2" t="s">
        <v>28</v>
      </c>
      <c r="B19" s="4">
        <v>12.07</v>
      </c>
      <c r="C19" s="4">
        <v>2.27</v>
      </c>
      <c r="D19" s="4">
        <v>2.61</v>
      </c>
      <c r="E19" s="4">
        <v>0.6</v>
      </c>
      <c r="F19" s="4">
        <v>3.73</v>
      </c>
      <c r="G19">
        <f t="shared" si="0"/>
        <v>39.679600000000001</v>
      </c>
      <c r="H19">
        <f t="shared" si="1"/>
        <v>3.9679600000000002E-2</v>
      </c>
    </row>
    <row r="20" spans="1:8" ht="15" thickBot="1">
      <c r="A20" s="2" t="s">
        <v>29</v>
      </c>
      <c r="B20" s="4">
        <v>12.07</v>
      </c>
      <c r="C20" s="4">
        <v>5.56</v>
      </c>
      <c r="D20" s="4">
        <v>2.65</v>
      </c>
      <c r="E20" s="4">
        <v>2.93</v>
      </c>
      <c r="F20" s="4">
        <v>4.42</v>
      </c>
      <c r="G20">
        <f t="shared" si="0"/>
        <v>97.188800000000001</v>
      </c>
      <c r="H20">
        <f t="shared" si="1"/>
        <v>9.7188800000000006E-2</v>
      </c>
    </row>
    <row r="21" spans="1:8" ht="15" thickBot="1">
      <c r="A21" s="2" t="s">
        <v>30</v>
      </c>
      <c r="B21" s="4">
        <v>12.07</v>
      </c>
      <c r="C21" s="4">
        <v>12.07</v>
      </c>
      <c r="D21" s="4">
        <v>1.21</v>
      </c>
      <c r="E21" s="4">
        <v>2.93</v>
      </c>
      <c r="F21" s="4">
        <v>5.64</v>
      </c>
      <c r="G21">
        <f t="shared" si="0"/>
        <v>210.98360000000002</v>
      </c>
      <c r="H21">
        <f t="shared" si="1"/>
        <v>0.21098360000000002</v>
      </c>
    </row>
    <row r="22" spans="1:8" ht="15" thickBot="1">
      <c r="A22" s="2" t="s">
        <v>31</v>
      </c>
      <c r="B22" s="4">
        <v>11.95</v>
      </c>
      <c r="C22" s="4">
        <v>11.95</v>
      </c>
      <c r="D22" s="4">
        <v>3.05</v>
      </c>
      <c r="E22" s="4">
        <v>0.86</v>
      </c>
      <c r="F22" s="4">
        <v>3.84</v>
      </c>
      <c r="G22">
        <f t="shared" si="0"/>
        <v>208.886</v>
      </c>
      <c r="H22">
        <f t="shared" si="1"/>
        <v>0.20888599999999999</v>
      </c>
    </row>
    <row r="23" spans="1:8" ht="15" thickBot="1">
      <c r="A23" s="2" t="s">
        <v>32</v>
      </c>
      <c r="B23" s="4">
        <v>11.95</v>
      </c>
      <c r="C23" s="4">
        <v>11.95</v>
      </c>
      <c r="D23" s="4">
        <v>3.15</v>
      </c>
      <c r="E23" s="4">
        <v>2.93</v>
      </c>
      <c r="F23" s="4">
        <v>3.16</v>
      </c>
      <c r="G23">
        <f t="shared" si="0"/>
        <v>208.886</v>
      </c>
      <c r="H23">
        <f t="shared" si="1"/>
        <v>0.20888599999999999</v>
      </c>
    </row>
    <row r="24" spans="1:8" ht="15" thickBot="1">
      <c r="A24" s="2" t="s">
        <v>33</v>
      </c>
      <c r="B24" s="4">
        <v>9.58</v>
      </c>
      <c r="C24" s="4">
        <v>7.29</v>
      </c>
      <c r="D24" s="4">
        <v>3.28</v>
      </c>
      <c r="E24" s="4">
        <v>2.93</v>
      </c>
      <c r="F24" s="4">
        <v>4.03</v>
      </c>
      <c r="G24">
        <f t="shared" si="0"/>
        <v>127.42920000000001</v>
      </c>
      <c r="H24">
        <f t="shared" si="1"/>
        <v>0.12742920000000002</v>
      </c>
    </row>
    <row r="25" spans="1:8" ht="15" thickBot="1">
      <c r="A25" s="2" t="s">
        <v>34</v>
      </c>
      <c r="B25" s="4">
        <v>11.95</v>
      </c>
      <c r="C25" s="4">
        <v>8.75</v>
      </c>
      <c r="D25" s="4">
        <v>2.65</v>
      </c>
      <c r="E25" s="4">
        <v>2.93</v>
      </c>
      <c r="F25" s="4">
        <v>5.49</v>
      </c>
      <c r="G25">
        <f t="shared" si="0"/>
        <v>152.95000000000002</v>
      </c>
      <c r="H25">
        <f t="shared" si="1"/>
        <v>0.15295000000000003</v>
      </c>
    </row>
    <row r="26" spans="1:8" ht="21" thickBot="1">
      <c r="A26" s="2" t="s">
        <v>35</v>
      </c>
      <c r="B26" s="4">
        <v>9.58</v>
      </c>
      <c r="C26" s="4">
        <v>2.0499999999999998</v>
      </c>
      <c r="D26" s="4">
        <v>2.44</v>
      </c>
      <c r="E26" s="4">
        <v>2.93</v>
      </c>
      <c r="F26" s="4">
        <v>4.26</v>
      </c>
      <c r="G26">
        <f t="shared" si="0"/>
        <v>35.833999999999996</v>
      </c>
      <c r="H26">
        <f t="shared" si="1"/>
        <v>3.5833999999999998E-2</v>
      </c>
    </row>
    <row r="27" spans="1:8" ht="15" thickBot="1">
      <c r="A27" s="2" t="s">
        <v>36</v>
      </c>
      <c r="B27" s="4">
        <v>12.07</v>
      </c>
      <c r="C27" s="4">
        <v>8.16</v>
      </c>
      <c r="D27" s="4">
        <v>2.96</v>
      </c>
      <c r="E27" s="4">
        <v>2.93</v>
      </c>
      <c r="F27" s="4">
        <v>4.53</v>
      </c>
      <c r="G27">
        <f t="shared" si="0"/>
        <v>142.63680000000002</v>
      </c>
      <c r="H27">
        <f t="shared" si="1"/>
        <v>0.14263680000000004</v>
      </c>
    </row>
    <row r="28" spans="1:8" ht="15" thickBot="1">
      <c r="A28" s="2" t="s">
        <v>37</v>
      </c>
      <c r="B28" s="4">
        <v>12.07</v>
      </c>
      <c r="C28" s="4">
        <v>5.62</v>
      </c>
      <c r="D28" s="4">
        <v>3.27</v>
      </c>
      <c r="E28" s="4">
        <v>1.04</v>
      </c>
      <c r="F28" s="4">
        <v>4.0999999999999996</v>
      </c>
      <c r="G28">
        <f t="shared" si="0"/>
        <v>98.237600000000015</v>
      </c>
      <c r="H28">
        <f t="shared" si="1"/>
        <v>9.8237600000000008E-2</v>
      </c>
    </row>
    <row r="29" spans="1:8" ht="15" thickBot="1">
      <c r="A29" s="2" t="s">
        <v>38</v>
      </c>
      <c r="B29" s="4">
        <v>11.95</v>
      </c>
      <c r="C29" s="4">
        <v>11.95</v>
      </c>
      <c r="D29" s="4">
        <v>3.29</v>
      </c>
      <c r="E29" s="4">
        <v>2.93</v>
      </c>
      <c r="F29" s="4">
        <v>3.37</v>
      </c>
      <c r="G29">
        <f t="shared" si="0"/>
        <v>208.886</v>
      </c>
      <c r="H29">
        <f t="shared" si="1"/>
        <v>0.20888599999999999</v>
      </c>
    </row>
    <row r="30" spans="1:8" ht="15" thickBot="1">
      <c r="A30" s="2" t="s">
        <v>39</v>
      </c>
      <c r="B30" s="4">
        <v>12.07</v>
      </c>
      <c r="C30" s="4">
        <v>6.11</v>
      </c>
      <c r="D30" s="4">
        <v>2.72</v>
      </c>
      <c r="E30" s="4" t="s">
        <v>15</v>
      </c>
      <c r="F30" s="4">
        <v>7.73</v>
      </c>
      <c r="G30">
        <f t="shared" si="0"/>
        <v>106.80280000000002</v>
      </c>
      <c r="H30">
        <f t="shared" si="1"/>
        <v>0.10680280000000002</v>
      </c>
    </row>
    <row r="31" spans="1:8" ht="15" thickBot="1">
      <c r="A31" s="2" t="s">
        <v>40</v>
      </c>
      <c r="B31" s="4">
        <v>16.07</v>
      </c>
      <c r="C31" s="4">
        <v>16.07</v>
      </c>
      <c r="D31" s="4">
        <v>2.8</v>
      </c>
      <c r="E31" s="4">
        <v>2.93</v>
      </c>
      <c r="F31" s="4">
        <v>12.07</v>
      </c>
      <c r="G31">
        <f t="shared" si="0"/>
        <v>280.90360000000004</v>
      </c>
      <c r="H31">
        <f t="shared" si="1"/>
        <v>0.28090360000000003</v>
      </c>
    </row>
    <row r="32" spans="1:8" ht="15" thickBot="1">
      <c r="A32" s="2" t="s">
        <v>41</v>
      </c>
      <c r="B32" s="4">
        <v>12.07</v>
      </c>
      <c r="C32" s="4">
        <v>4.5599999999999996</v>
      </c>
      <c r="D32" s="4">
        <v>1.33</v>
      </c>
      <c r="E32" s="4">
        <v>2.93</v>
      </c>
      <c r="F32" s="4">
        <v>4.79</v>
      </c>
      <c r="G32">
        <f t="shared" si="0"/>
        <v>79.708799999999997</v>
      </c>
      <c r="H32">
        <f t="shared" si="1"/>
        <v>7.9708799999999996E-2</v>
      </c>
    </row>
    <row r="33" spans="1:8" ht="15" thickBot="1">
      <c r="A33" s="2" t="s">
        <v>42</v>
      </c>
      <c r="B33" s="4">
        <v>16.07</v>
      </c>
      <c r="C33" s="4">
        <v>16.07</v>
      </c>
      <c r="D33" s="4">
        <v>3.01</v>
      </c>
      <c r="E33" s="4">
        <v>2.93</v>
      </c>
      <c r="F33" s="4">
        <v>10.220000000000001</v>
      </c>
      <c r="G33">
        <f t="shared" si="0"/>
        <v>280.90360000000004</v>
      </c>
      <c r="H33">
        <f t="shared" si="1"/>
        <v>0.28090360000000003</v>
      </c>
    </row>
    <row r="34" spans="1:8" ht="21" thickBot="1">
      <c r="A34" s="2" t="s">
        <v>43</v>
      </c>
      <c r="B34" s="4">
        <v>9.58</v>
      </c>
      <c r="C34" s="4">
        <v>6.58</v>
      </c>
      <c r="D34" s="4">
        <v>1.68</v>
      </c>
      <c r="E34" s="4">
        <v>2.93</v>
      </c>
      <c r="F34" s="4">
        <v>4.96</v>
      </c>
      <c r="G34">
        <f t="shared" si="0"/>
        <v>115.01840000000001</v>
      </c>
      <c r="H34">
        <f t="shared" si="1"/>
        <v>0.11501840000000002</v>
      </c>
    </row>
    <row r="35" spans="1:8" ht="21" thickBot="1">
      <c r="A35" s="2" t="s">
        <v>44</v>
      </c>
      <c r="B35" s="4">
        <v>9.58</v>
      </c>
      <c r="C35" s="4">
        <v>1.88</v>
      </c>
      <c r="D35" s="4">
        <v>2.2000000000000002</v>
      </c>
      <c r="E35" s="4">
        <v>2.93</v>
      </c>
      <c r="F35" s="4">
        <v>4.0999999999999996</v>
      </c>
      <c r="G35">
        <f t="shared" si="0"/>
        <v>32.862400000000001</v>
      </c>
      <c r="H35">
        <f t="shared" si="1"/>
        <v>3.28624E-2</v>
      </c>
    </row>
    <row r="36" spans="1:8" ht="21" thickBot="1">
      <c r="A36" s="2" t="s">
        <v>45</v>
      </c>
      <c r="B36" s="4">
        <v>16.07</v>
      </c>
      <c r="C36" s="4">
        <v>16.07</v>
      </c>
      <c r="D36" s="4">
        <v>3.45</v>
      </c>
      <c r="E36" s="4">
        <v>2.93</v>
      </c>
      <c r="F36" s="4">
        <v>15.41</v>
      </c>
      <c r="G36">
        <f t="shared" si="0"/>
        <v>280.90360000000004</v>
      </c>
      <c r="H36">
        <f t="shared" si="1"/>
        <v>0.28090360000000003</v>
      </c>
    </row>
    <row r="37" spans="1:8" ht="15" thickBot="1">
      <c r="A37" s="2" t="s">
        <v>47</v>
      </c>
      <c r="B37" s="4">
        <v>9.58</v>
      </c>
      <c r="C37" s="4">
        <v>2.2599999999999998</v>
      </c>
      <c r="D37" s="4">
        <v>2.75</v>
      </c>
      <c r="E37" s="4">
        <v>2.93</v>
      </c>
      <c r="F37" s="4">
        <v>4.37</v>
      </c>
      <c r="G37">
        <f t="shared" si="0"/>
        <v>39.504799999999996</v>
      </c>
      <c r="H37">
        <f t="shared" si="1"/>
        <v>3.9504799999999993E-2</v>
      </c>
    </row>
    <row r="38" spans="1:8" ht="21" thickBot="1">
      <c r="A38" s="2" t="s">
        <v>48</v>
      </c>
      <c r="B38" s="4">
        <v>11.95</v>
      </c>
      <c r="C38" s="4">
        <v>11.95</v>
      </c>
      <c r="D38" s="4">
        <v>3.29</v>
      </c>
      <c r="E38" s="4">
        <v>2.93</v>
      </c>
      <c r="F38" s="4">
        <v>3.65</v>
      </c>
      <c r="G38">
        <f t="shared" si="0"/>
        <v>208.886</v>
      </c>
      <c r="H38">
        <f t="shared" si="1"/>
        <v>0.20888599999999999</v>
      </c>
    </row>
    <row r="39" spans="1:8" ht="21" thickBot="1">
      <c r="A39" s="2" t="s">
        <v>49</v>
      </c>
      <c r="B39" s="4">
        <v>12.07</v>
      </c>
      <c r="C39" s="4">
        <v>12.07</v>
      </c>
      <c r="D39" s="4">
        <v>2.5299999999999998</v>
      </c>
      <c r="E39" s="4" t="s">
        <v>15</v>
      </c>
      <c r="F39" s="4">
        <v>8.0299999999999994</v>
      </c>
      <c r="G39">
        <f t="shared" si="0"/>
        <v>210.98360000000002</v>
      </c>
      <c r="H39">
        <f t="shared" si="1"/>
        <v>0.21098360000000002</v>
      </c>
    </row>
    <row r="40" spans="1:8" ht="15" thickBot="1">
      <c r="A40" s="2" t="s">
        <v>50</v>
      </c>
      <c r="B40" s="4">
        <v>12.07</v>
      </c>
      <c r="C40" s="4">
        <v>11.51</v>
      </c>
      <c r="D40" s="4">
        <v>2.31</v>
      </c>
      <c r="E40" s="4">
        <v>2.93</v>
      </c>
      <c r="F40" s="4">
        <v>5.83</v>
      </c>
      <c r="G40">
        <f t="shared" si="0"/>
        <v>201.19480000000001</v>
      </c>
      <c r="H40">
        <f t="shared" si="1"/>
        <v>0.20119480000000001</v>
      </c>
    </row>
    <row r="41" spans="1:8" ht="15" thickBot="1">
      <c r="A41" s="2" t="s">
        <v>51</v>
      </c>
      <c r="B41" s="4">
        <v>11.95</v>
      </c>
      <c r="C41" s="4">
        <v>4.18</v>
      </c>
      <c r="D41" s="4">
        <v>2.64</v>
      </c>
      <c r="E41" s="4">
        <v>2.93</v>
      </c>
      <c r="F41" s="4">
        <v>3.88</v>
      </c>
      <c r="G41">
        <f t="shared" si="0"/>
        <v>73.066400000000002</v>
      </c>
      <c r="H41">
        <f t="shared" si="1"/>
        <v>7.3066400000000004E-2</v>
      </c>
    </row>
    <row r="42" spans="1:8" ht="15" thickBot="1">
      <c r="A42" s="2" t="s">
        <v>52</v>
      </c>
      <c r="B42" s="4">
        <v>16.07</v>
      </c>
      <c r="C42" s="4">
        <v>11.84</v>
      </c>
      <c r="D42" s="4">
        <v>3.18</v>
      </c>
      <c r="E42" s="4">
        <v>2.93</v>
      </c>
      <c r="F42" s="4">
        <v>5.2</v>
      </c>
      <c r="G42">
        <f t="shared" si="0"/>
        <v>206.9632</v>
      </c>
      <c r="H42">
        <f t="shared" si="1"/>
        <v>0.20696320000000001</v>
      </c>
    </row>
    <row r="43" spans="1:8" ht="21" thickBot="1">
      <c r="A43" s="2" t="s">
        <v>53</v>
      </c>
      <c r="B43" s="4">
        <v>9.58</v>
      </c>
      <c r="C43" s="4">
        <v>4.8899999999999997</v>
      </c>
      <c r="D43" s="4">
        <v>2.2400000000000002</v>
      </c>
      <c r="E43" s="4">
        <v>2.93</v>
      </c>
      <c r="F43" s="4">
        <v>4.51</v>
      </c>
      <c r="G43">
        <f t="shared" si="0"/>
        <v>85.477199999999996</v>
      </c>
      <c r="H43">
        <f t="shared" si="1"/>
        <v>8.5477200000000003E-2</v>
      </c>
    </row>
    <row r="44" spans="1:8" ht="21" thickBot="1">
      <c r="A44" s="2" t="s">
        <v>54</v>
      </c>
      <c r="B44" s="4">
        <v>9.58</v>
      </c>
      <c r="C44" s="4">
        <v>9.58</v>
      </c>
      <c r="D44" s="4">
        <v>2.59</v>
      </c>
      <c r="E44" s="4">
        <v>2.93</v>
      </c>
      <c r="F44" s="4">
        <v>5.07</v>
      </c>
      <c r="G44">
        <f t="shared" si="0"/>
        <v>167.45840000000001</v>
      </c>
      <c r="H44">
        <f t="shared" si="1"/>
        <v>0.16745840000000001</v>
      </c>
    </row>
    <row r="45" spans="1:8" ht="21" thickBot="1">
      <c r="A45" s="2" t="s">
        <v>55</v>
      </c>
      <c r="B45" s="4">
        <v>11.95</v>
      </c>
      <c r="C45" s="4">
        <v>11.95</v>
      </c>
      <c r="D45" s="4">
        <v>3.28</v>
      </c>
      <c r="E45" s="4">
        <v>0.85</v>
      </c>
      <c r="F45" s="4">
        <v>2.95</v>
      </c>
      <c r="G45">
        <f t="shared" si="0"/>
        <v>208.886</v>
      </c>
      <c r="H45">
        <f t="shared" si="1"/>
        <v>0.20888599999999999</v>
      </c>
    </row>
    <row r="46" spans="1:8" ht="21" thickBot="1">
      <c r="A46" s="2" t="s">
        <v>56</v>
      </c>
      <c r="B46" s="4">
        <v>12.07</v>
      </c>
      <c r="C46" s="4">
        <v>12.07</v>
      </c>
      <c r="D46" s="4">
        <v>3.23</v>
      </c>
      <c r="E46" s="4" t="s">
        <v>15</v>
      </c>
      <c r="F46" s="4">
        <v>6.44</v>
      </c>
      <c r="G46">
        <f t="shared" si="0"/>
        <v>210.98360000000002</v>
      </c>
      <c r="H46">
        <f t="shared" si="1"/>
        <v>0.21098360000000002</v>
      </c>
    </row>
    <row r="47" spans="1:8" ht="15" thickBot="1">
      <c r="A47" s="2" t="s">
        <v>57</v>
      </c>
      <c r="B47" s="4">
        <v>11.95</v>
      </c>
      <c r="C47" s="4">
        <v>11.95</v>
      </c>
      <c r="D47" s="4">
        <v>3.06</v>
      </c>
      <c r="E47" s="4">
        <v>2.93</v>
      </c>
      <c r="F47" s="4">
        <v>3.75</v>
      </c>
      <c r="G47">
        <f t="shared" si="0"/>
        <v>208.886</v>
      </c>
      <c r="H47">
        <f t="shared" si="1"/>
        <v>0.20888599999999999</v>
      </c>
    </row>
    <row r="48" spans="1:8" ht="15" thickBot="1">
      <c r="A48" s="2" t="s">
        <v>58</v>
      </c>
      <c r="B48" s="4">
        <v>11.95</v>
      </c>
      <c r="C48" s="4">
        <v>11.95</v>
      </c>
      <c r="D48" s="4">
        <v>2.65</v>
      </c>
      <c r="E48" s="4">
        <v>2.93</v>
      </c>
      <c r="F48" s="4">
        <v>3.09</v>
      </c>
      <c r="G48">
        <f t="shared" si="0"/>
        <v>208.886</v>
      </c>
      <c r="H48">
        <f t="shared" si="1"/>
        <v>0.20888599999999999</v>
      </c>
    </row>
    <row r="49" spans="1:8" ht="15" thickBot="1">
      <c r="A49" s="2" t="s">
        <v>59</v>
      </c>
      <c r="B49" s="4">
        <v>16.07</v>
      </c>
      <c r="C49" s="4">
        <v>9.85</v>
      </c>
      <c r="D49" s="4">
        <v>3.11</v>
      </c>
      <c r="E49" s="4">
        <v>2.93</v>
      </c>
      <c r="F49" s="4">
        <v>10.27</v>
      </c>
      <c r="G49">
        <f t="shared" si="0"/>
        <v>172.178</v>
      </c>
      <c r="H49">
        <f t="shared" si="1"/>
        <v>0.172178</v>
      </c>
    </row>
    <row r="50" spans="1:8" ht="15" thickBot="1">
      <c r="A50" s="2" t="s">
        <v>60</v>
      </c>
      <c r="B50" s="4">
        <v>9.58</v>
      </c>
      <c r="C50" s="4">
        <v>8.2899999999999991</v>
      </c>
      <c r="D50" s="4">
        <v>3.05</v>
      </c>
      <c r="E50" s="4">
        <v>2.93</v>
      </c>
      <c r="F50" s="4">
        <v>5.32</v>
      </c>
      <c r="G50">
        <f t="shared" si="0"/>
        <v>144.9092</v>
      </c>
      <c r="H50">
        <f t="shared" si="1"/>
        <v>0.14490919999999999</v>
      </c>
    </row>
    <row r="51" spans="1:8" ht="15" thickBot="1">
      <c r="A51" s="2" t="s">
        <v>61</v>
      </c>
      <c r="B51" s="4">
        <v>11.95</v>
      </c>
      <c r="C51" s="4">
        <v>2.62</v>
      </c>
      <c r="D51" s="4">
        <v>3.26</v>
      </c>
      <c r="E51" s="4">
        <v>3.72</v>
      </c>
      <c r="F51" s="4">
        <v>4.09</v>
      </c>
      <c r="G51">
        <f t="shared" si="0"/>
        <v>45.797600000000003</v>
      </c>
      <c r="H51">
        <f t="shared" si="1"/>
        <v>4.5797600000000001E-2</v>
      </c>
    </row>
    <row r="52" spans="1:8" ht="21" thickBot="1">
      <c r="A52" s="2" t="s">
        <v>62</v>
      </c>
      <c r="B52" s="4">
        <v>16.07</v>
      </c>
      <c r="C52" s="4">
        <v>14.86</v>
      </c>
      <c r="D52" s="4">
        <v>3.22</v>
      </c>
      <c r="E52" s="4">
        <v>2.68</v>
      </c>
      <c r="F52" s="4">
        <v>4.2699999999999996</v>
      </c>
      <c r="G52">
        <f t="shared" si="0"/>
        <v>259.75279999999998</v>
      </c>
      <c r="H52">
        <f t="shared" si="1"/>
        <v>0.25975280000000001</v>
      </c>
    </row>
    <row r="53" spans="1:8" ht="21" thickBot="1">
      <c r="A53" s="2" t="s">
        <v>63</v>
      </c>
      <c r="B53" s="4">
        <v>11.95</v>
      </c>
      <c r="C53" s="4">
        <v>11.95</v>
      </c>
      <c r="D53" s="4">
        <v>2.5</v>
      </c>
      <c r="E53" s="4">
        <v>2.93</v>
      </c>
      <c r="F53" s="4">
        <v>9.9600000000000009</v>
      </c>
      <c r="G53">
        <f t="shared" si="0"/>
        <v>208.886</v>
      </c>
      <c r="H53">
        <f t="shared" si="1"/>
        <v>0.20888599999999999</v>
      </c>
    </row>
    <row r="54" spans="1:8" ht="15" thickBot="1">
      <c r="A54" s="2" t="s">
        <v>64</v>
      </c>
      <c r="B54" s="4">
        <v>12.07</v>
      </c>
      <c r="C54" s="4">
        <v>8.3800000000000008</v>
      </c>
      <c r="D54" s="4">
        <v>2.96</v>
      </c>
      <c r="E54" s="4">
        <v>2.86</v>
      </c>
      <c r="F54" s="4">
        <v>4.37</v>
      </c>
      <c r="G54">
        <f t="shared" si="0"/>
        <v>146.48240000000001</v>
      </c>
      <c r="H54">
        <f t="shared" si="1"/>
        <v>0.14648240000000001</v>
      </c>
    </row>
    <row r="55" spans="1:8" ht="15" thickBot="1">
      <c r="A55" s="2" t="s">
        <v>65</v>
      </c>
      <c r="B55" s="4">
        <v>16.07</v>
      </c>
      <c r="C55" s="4">
        <v>16.07</v>
      </c>
      <c r="D55" s="4">
        <v>2.94</v>
      </c>
      <c r="E55" s="4" t="s">
        <v>15</v>
      </c>
      <c r="F55" s="4">
        <v>15.32</v>
      </c>
      <c r="G55">
        <f t="shared" si="0"/>
        <v>280.90360000000004</v>
      </c>
      <c r="H55">
        <f t="shared" si="1"/>
        <v>0.28090360000000003</v>
      </c>
    </row>
    <row r="56" spans="1:8" ht="21" thickBot="1">
      <c r="A56" s="2" t="s">
        <v>66</v>
      </c>
      <c r="B56" s="4">
        <v>11.93</v>
      </c>
      <c r="C56" s="4">
        <v>4.1500000000000004</v>
      </c>
      <c r="D56" s="4">
        <v>3.1</v>
      </c>
      <c r="E56" s="4">
        <v>2.78</v>
      </c>
      <c r="F56" s="4">
        <v>3.96</v>
      </c>
      <c r="G56">
        <f t="shared" si="0"/>
        <v>72.542000000000016</v>
      </c>
      <c r="H56">
        <f t="shared" si="1"/>
        <v>7.2542000000000009E-2</v>
      </c>
    </row>
  </sheetData>
  <mergeCells count="5">
    <mergeCell ref="A1:A4"/>
    <mergeCell ref="B1:F1"/>
    <mergeCell ref="C2:E2"/>
    <mergeCell ref="F2:F3"/>
    <mergeCell ref="B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7DC0-C10B-40FA-B0EF-A7540B88B33A}">
  <dimension ref="A1:R58"/>
  <sheetViews>
    <sheetView workbookViewId="0">
      <selection sqref="A1:XFD1048576"/>
    </sheetView>
  </sheetViews>
  <sheetFormatPr defaultRowHeight="14.4"/>
  <sheetData>
    <row r="1" spans="1:18">
      <c r="G1" s="13"/>
      <c r="O1" s="13"/>
    </row>
    <row r="2" spans="1:18" ht="18">
      <c r="B2" s="14" t="s">
        <v>81</v>
      </c>
      <c r="G2" s="13"/>
      <c r="I2" s="14" t="s">
        <v>82</v>
      </c>
      <c r="O2" s="13"/>
      <c r="Q2" s="15" t="s">
        <v>83</v>
      </c>
      <c r="R2" s="16"/>
    </row>
    <row r="3" spans="1:18">
      <c r="B3" t="s">
        <v>84</v>
      </c>
      <c r="C3" t="s">
        <v>85</v>
      </c>
      <c r="G3" s="13"/>
      <c r="I3" t="s">
        <v>86</v>
      </c>
      <c r="J3" s="10" t="s">
        <v>87</v>
      </c>
      <c r="O3" s="13"/>
      <c r="Q3" s="16" t="s">
        <v>88</v>
      </c>
      <c r="R3" s="16" t="s">
        <v>89</v>
      </c>
    </row>
    <row r="4" spans="1:18">
      <c r="G4" s="13"/>
      <c r="K4" s="10"/>
      <c r="O4" s="13"/>
      <c r="Q4" s="17" t="s">
        <v>90</v>
      </c>
      <c r="R4" s="16" t="s">
        <v>91</v>
      </c>
    </row>
    <row r="5" spans="1:18">
      <c r="G5" s="13"/>
      <c r="O5" s="13"/>
      <c r="Q5" s="16" t="s">
        <v>92</v>
      </c>
      <c r="R5" s="16"/>
    </row>
    <row r="6" spans="1:18">
      <c r="G6" s="13"/>
      <c r="O6" s="13"/>
      <c r="Q6" s="16" t="s">
        <v>93</v>
      </c>
      <c r="R6" s="16"/>
    </row>
    <row r="7" spans="1:18">
      <c r="G7" s="13"/>
      <c r="O7" s="13"/>
      <c r="Q7" s="16"/>
      <c r="R7" s="17" t="s">
        <v>94</v>
      </c>
    </row>
    <row r="8" spans="1:18">
      <c r="G8" s="13"/>
      <c r="O8" s="13"/>
    </row>
    <row r="9" spans="1:18">
      <c r="D9" s="10"/>
      <c r="G9" s="13"/>
      <c r="O9" s="13"/>
    </row>
    <row r="10" spans="1:18">
      <c r="G10" s="13"/>
      <c r="O10" s="13"/>
    </row>
    <row r="11" spans="1:18">
      <c r="G11" s="13"/>
      <c r="O11" s="13"/>
    </row>
    <row r="12" spans="1:18">
      <c r="A12" s="18" t="s">
        <v>95</v>
      </c>
      <c r="B12" s="18" t="s">
        <v>96</v>
      </c>
      <c r="C12" s="18" t="s">
        <v>97</v>
      </c>
      <c r="G12" s="13"/>
      <c r="H12" s="19"/>
      <c r="I12" s="18" t="s">
        <v>96</v>
      </c>
      <c r="J12" s="18" t="s">
        <v>98</v>
      </c>
      <c r="O12" s="13"/>
      <c r="P12" s="19"/>
      <c r="Q12" s="18" t="s">
        <v>96</v>
      </c>
      <c r="R12" s="18" t="s">
        <v>98</v>
      </c>
    </row>
    <row r="13" spans="1:18">
      <c r="A13" s="19" t="s">
        <v>99</v>
      </c>
      <c r="B13" s="19">
        <v>1990</v>
      </c>
      <c r="C13" s="20">
        <v>357.6</v>
      </c>
      <c r="G13" s="13"/>
      <c r="H13" s="19" t="s">
        <v>99</v>
      </c>
      <c r="I13" s="19">
        <v>1980</v>
      </c>
      <c r="J13" s="20">
        <v>89</v>
      </c>
      <c r="O13" s="13"/>
      <c r="P13" s="19" t="s">
        <v>100</v>
      </c>
      <c r="Q13" s="19">
        <v>1980</v>
      </c>
      <c r="R13" s="21">
        <v>9.0457142857142898</v>
      </c>
    </row>
    <row r="14" spans="1:18">
      <c r="A14" s="19" t="s">
        <v>99</v>
      </c>
      <c r="B14" s="19">
        <v>1991</v>
      </c>
      <c r="C14" s="20">
        <v>361.3</v>
      </c>
      <c r="G14" s="13"/>
      <c r="H14" s="19" t="s">
        <v>99</v>
      </c>
      <c r="I14" s="19">
        <v>1981</v>
      </c>
      <c r="J14" s="20">
        <v>98.4</v>
      </c>
      <c r="O14" s="13"/>
      <c r="P14" s="19" t="s">
        <v>100</v>
      </c>
      <c r="Q14" s="19">
        <v>1981</v>
      </c>
      <c r="R14" s="21">
        <v>9.4288571428571508</v>
      </c>
    </row>
    <row r="15" spans="1:18">
      <c r="A15" s="19" t="s">
        <v>99</v>
      </c>
      <c r="B15" s="19">
        <v>1992</v>
      </c>
      <c r="C15" s="20">
        <v>358.2</v>
      </c>
      <c r="G15" s="13"/>
      <c r="H15" s="19" t="s">
        <v>99</v>
      </c>
      <c r="I15" s="19">
        <v>1982</v>
      </c>
      <c r="J15" s="20">
        <v>100</v>
      </c>
      <c r="O15" s="13"/>
      <c r="P15" s="19" t="s">
        <v>100</v>
      </c>
      <c r="Q15" s="19">
        <v>1982</v>
      </c>
      <c r="R15" s="21">
        <v>9.8119999999999994</v>
      </c>
    </row>
    <row r="16" spans="1:18">
      <c r="A16" s="19" t="s">
        <v>99</v>
      </c>
      <c r="B16" s="19">
        <v>1993</v>
      </c>
      <c r="C16" s="20">
        <v>359.2</v>
      </c>
      <c r="G16" s="13"/>
      <c r="H16" s="19" t="s">
        <v>99</v>
      </c>
      <c r="I16" s="19">
        <v>1983</v>
      </c>
      <c r="J16" s="20">
        <v>100.3</v>
      </c>
      <c r="O16" s="13"/>
      <c r="P16" s="19" t="s">
        <v>100</v>
      </c>
      <c r="Q16" s="19">
        <v>1983</v>
      </c>
      <c r="R16" s="21">
        <v>10.195142857142899</v>
      </c>
    </row>
    <row r="17" spans="1:18">
      <c r="A17" s="19" t="s">
        <v>99</v>
      </c>
      <c r="B17" s="19">
        <v>1994</v>
      </c>
      <c r="C17" s="20">
        <v>368.1</v>
      </c>
      <c r="G17" s="13"/>
      <c r="H17" s="19" t="s">
        <v>99</v>
      </c>
      <c r="I17" s="19">
        <v>1984</v>
      </c>
      <c r="J17" s="20">
        <v>102.9</v>
      </c>
      <c r="O17" s="13"/>
      <c r="P17" s="19" t="s">
        <v>100</v>
      </c>
      <c r="Q17" s="19">
        <v>1984</v>
      </c>
      <c r="R17" s="21">
        <v>10.5782857142857</v>
      </c>
    </row>
    <row r="18" spans="1:18">
      <c r="A18" s="19" t="s">
        <v>99</v>
      </c>
      <c r="B18" s="19">
        <v>1995</v>
      </c>
      <c r="C18" s="20">
        <v>381.1</v>
      </c>
      <c r="G18" s="13"/>
      <c r="H18" s="19" t="s">
        <v>99</v>
      </c>
      <c r="I18" s="19">
        <v>1985</v>
      </c>
      <c r="J18" s="20">
        <v>103.7</v>
      </c>
      <c r="O18" s="13"/>
      <c r="P18" s="19" t="s">
        <v>100</v>
      </c>
      <c r="Q18" s="19">
        <v>1985</v>
      </c>
      <c r="R18" s="21">
        <v>10.9614285714286</v>
      </c>
    </row>
    <row r="19" spans="1:18">
      <c r="A19" s="19" t="s">
        <v>99</v>
      </c>
      <c r="B19" s="19">
        <v>1996</v>
      </c>
      <c r="C19" s="20">
        <v>381.7</v>
      </c>
      <c r="G19" s="13"/>
      <c r="H19" s="19" t="s">
        <v>99</v>
      </c>
      <c r="I19" s="19">
        <v>1986</v>
      </c>
      <c r="J19" s="20">
        <v>102.6</v>
      </c>
      <c r="O19" s="13"/>
      <c r="P19" s="19" t="s">
        <v>100</v>
      </c>
      <c r="Q19" s="19">
        <v>1986</v>
      </c>
      <c r="R19" s="21">
        <v>11.344571428571401</v>
      </c>
    </row>
    <row r="20" spans="1:18">
      <c r="A20" s="19" t="s">
        <v>99</v>
      </c>
      <c r="B20" s="19">
        <v>1997</v>
      </c>
      <c r="C20" s="20">
        <v>386.5</v>
      </c>
      <c r="G20" s="13"/>
      <c r="H20" s="19" t="s">
        <v>99</v>
      </c>
      <c r="I20" s="19">
        <v>1987</v>
      </c>
      <c r="J20" s="20">
        <v>106.4</v>
      </c>
      <c r="O20" s="13"/>
      <c r="P20" s="19" t="s">
        <v>100</v>
      </c>
      <c r="Q20" s="19">
        <v>1987</v>
      </c>
      <c r="R20" s="21">
        <v>11.727714285714301</v>
      </c>
    </row>
    <row r="21" spans="1:18">
      <c r="A21" s="19" t="s">
        <v>99</v>
      </c>
      <c r="B21" s="19">
        <v>1998</v>
      </c>
      <c r="C21" s="20">
        <v>389.5</v>
      </c>
      <c r="G21" s="13"/>
      <c r="H21" s="19" t="s">
        <v>99</v>
      </c>
      <c r="I21" s="19">
        <v>1988</v>
      </c>
      <c r="J21" s="20">
        <v>116.3</v>
      </c>
      <c r="O21" s="13"/>
      <c r="P21" s="19" t="s">
        <v>100</v>
      </c>
      <c r="Q21" s="19">
        <v>1988</v>
      </c>
      <c r="R21" s="21">
        <v>12.1108571428571</v>
      </c>
    </row>
    <row r="22" spans="1:18">
      <c r="A22" s="19" t="s">
        <v>99</v>
      </c>
      <c r="B22" s="19">
        <v>1999</v>
      </c>
      <c r="C22" s="20">
        <v>390.6</v>
      </c>
      <c r="G22" s="13"/>
      <c r="H22" s="19" t="s">
        <v>99</v>
      </c>
      <c r="I22" s="19">
        <v>1989</v>
      </c>
      <c r="J22" s="20">
        <v>123</v>
      </c>
      <c r="O22" s="13"/>
      <c r="P22" s="19" t="s">
        <v>100</v>
      </c>
      <c r="Q22" s="19">
        <v>1989</v>
      </c>
      <c r="R22" s="21">
        <v>12.494</v>
      </c>
    </row>
    <row r="23" spans="1:18">
      <c r="A23" s="19" t="s">
        <v>99</v>
      </c>
      <c r="B23" s="19">
        <v>2000</v>
      </c>
      <c r="C23" s="20">
        <v>394.1</v>
      </c>
      <c r="G23" s="13"/>
      <c r="H23" s="19" t="s">
        <v>99</v>
      </c>
      <c r="I23" s="19">
        <v>1990</v>
      </c>
      <c r="J23" s="20">
        <v>123.6</v>
      </c>
      <c r="O23" s="13"/>
      <c r="P23" s="19" t="s">
        <v>99</v>
      </c>
      <c r="Q23" s="19">
        <v>1990</v>
      </c>
      <c r="R23" s="20">
        <v>12.85</v>
      </c>
    </row>
    <row r="24" spans="1:18">
      <c r="A24" s="19" t="s">
        <v>99</v>
      </c>
      <c r="B24" s="19">
        <v>2001</v>
      </c>
      <c r="C24" s="20">
        <v>394.3</v>
      </c>
      <c r="G24" s="13"/>
      <c r="H24" s="19" t="s">
        <v>99</v>
      </c>
      <c r="I24" s="19">
        <v>1991</v>
      </c>
      <c r="J24" s="20">
        <v>125.6</v>
      </c>
      <c r="O24" s="13"/>
      <c r="P24" s="19" t="s">
        <v>99</v>
      </c>
      <c r="Q24" s="19">
        <v>1991</v>
      </c>
      <c r="R24" s="20">
        <v>13.3</v>
      </c>
    </row>
    <row r="25" spans="1:18">
      <c r="A25" s="19" t="s">
        <v>99</v>
      </c>
      <c r="B25" s="19">
        <v>2002</v>
      </c>
      <c r="C25" s="20">
        <v>395.6</v>
      </c>
      <c r="G25" s="13"/>
      <c r="H25" s="19" t="s">
        <v>99</v>
      </c>
      <c r="I25" s="19">
        <v>1992</v>
      </c>
      <c r="J25" s="20">
        <v>125.9</v>
      </c>
      <c r="O25" s="13"/>
      <c r="P25" s="19" t="s">
        <v>99</v>
      </c>
      <c r="Q25" s="19">
        <v>1992</v>
      </c>
      <c r="R25" s="20">
        <v>13.7</v>
      </c>
    </row>
    <row r="26" spans="1:18">
      <c r="A26" s="19" t="s">
        <v>99</v>
      </c>
      <c r="B26" s="19">
        <v>2003</v>
      </c>
      <c r="C26" s="20">
        <v>402</v>
      </c>
      <c r="G26" s="13"/>
      <c r="H26" s="19" t="s">
        <v>99</v>
      </c>
      <c r="I26" s="19">
        <v>1993</v>
      </c>
      <c r="J26" s="20">
        <v>128.19999999999999</v>
      </c>
      <c r="O26" s="13"/>
      <c r="P26" s="19" t="s">
        <v>99</v>
      </c>
      <c r="Q26" s="19">
        <v>1993</v>
      </c>
      <c r="R26" s="20">
        <v>13.97</v>
      </c>
    </row>
    <row r="27" spans="1:18">
      <c r="A27" s="19" t="s">
        <v>99</v>
      </c>
      <c r="B27" s="19">
        <v>2004</v>
      </c>
      <c r="C27" s="20">
        <v>444.2</v>
      </c>
      <c r="G27" s="13"/>
      <c r="H27" s="19" t="s">
        <v>99</v>
      </c>
      <c r="I27" s="19">
        <v>1994</v>
      </c>
      <c r="J27" s="20">
        <v>132.1</v>
      </c>
      <c r="O27" s="13"/>
      <c r="P27" s="19" t="s">
        <v>99</v>
      </c>
      <c r="Q27" s="19">
        <v>1994</v>
      </c>
      <c r="R27" s="20">
        <v>14.33</v>
      </c>
    </row>
    <row r="28" spans="1:18">
      <c r="A28" s="19" t="s">
        <v>99</v>
      </c>
      <c r="B28" s="19">
        <v>2005</v>
      </c>
      <c r="C28" s="20">
        <v>468.2</v>
      </c>
      <c r="G28" s="13"/>
      <c r="H28" s="19" t="s">
        <v>99</v>
      </c>
      <c r="I28" s="19">
        <v>1995</v>
      </c>
      <c r="J28" s="20">
        <v>139.5</v>
      </c>
      <c r="O28" s="13"/>
      <c r="P28" s="19" t="s">
        <v>99</v>
      </c>
      <c r="Q28" s="19">
        <v>1995</v>
      </c>
      <c r="R28" s="20">
        <v>14.86</v>
      </c>
    </row>
    <row r="29" spans="1:18">
      <c r="A29" s="19" t="s">
        <v>99</v>
      </c>
      <c r="B29" s="19">
        <v>2006</v>
      </c>
      <c r="C29" s="20">
        <v>499.6</v>
      </c>
      <c r="G29" s="13"/>
      <c r="H29" s="19" t="s">
        <v>99</v>
      </c>
      <c r="I29" s="19">
        <v>1996</v>
      </c>
      <c r="J29" s="20">
        <v>142.1</v>
      </c>
      <c r="O29" s="13"/>
      <c r="P29" s="19" t="s">
        <v>99</v>
      </c>
      <c r="Q29" s="19">
        <v>1996</v>
      </c>
      <c r="R29" s="20">
        <v>15.37</v>
      </c>
    </row>
    <row r="30" spans="1:18">
      <c r="A30" s="19" t="s">
        <v>99</v>
      </c>
      <c r="B30" s="19">
        <v>2007</v>
      </c>
      <c r="C30" s="20">
        <v>525.4</v>
      </c>
      <c r="G30" s="13"/>
      <c r="H30" s="19" t="s">
        <v>99</v>
      </c>
      <c r="I30" s="19">
        <v>1997</v>
      </c>
      <c r="J30" s="20">
        <v>147.1</v>
      </c>
      <c r="O30" s="13"/>
      <c r="P30" s="19" t="s">
        <v>99</v>
      </c>
      <c r="Q30" s="19">
        <v>1997</v>
      </c>
      <c r="R30" s="20">
        <v>15.78</v>
      </c>
    </row>
    <row r="31" spans="1:18">
      <c r="A31" s="19" t="s">
        <v>99</v>
      </c>
      <c r="B31" s="19">
        <v>2008</v>
      </c>
      <c r="C31" s="20">
        <v>575.4</v>
      </c>
      <c r="G31" s="13"/>
      <c r="H31" s="19" t="s">
        <v>99</v>
      </c>
      <c r="I31" s="19">
        <v>1998</v>
      </c>
      <c r="J31" s="20">
        <v>148.69999999999999</v>
      </c>
      <c r="O31" s="13"/>
      <c r="P31" s="19" t="s">
        <v>99</v>
      </c>
      <c r="Q31" s="19">
        <v>1998</v>
      </c>
      <c r="R31" s="20">
        <v>16.23</v>
      </c>
    </row>
    <row r="32" spans="1:18">
      <c r="A32" s="19" t="s">
        <v>99</v>
      </c>
      <c r="B32" s="19">
        <v>2009</v>
      </c>
      <c r="C32" s="20">
        <v>521.9</v>
      </c>
      <c r="G32" s="13"/>
      <c r="H32" s="19" t="s">
        <v>99</v>
      </c>
      <c r="I32" s="19">
        <v>1999</v>
      </c>
      <c r="J32" s="20">
        <v>149.69999999999999</v>
      </c>
      <c r="O32" s="13"/>
      <c r="P32" s="19" t="s">
        <v>99</v>
      </c>
      <c r="Q32" s="19">
        <v>1999</v>
      </c>
      <c r="R32" s="20">
        <v>16.399999999999999</v>
      </c>
    </row>
    <row r="33" spans="1:18">
      <c r="A33" s="19" t="s">
        <v>99</v>
      </c>
      <c r="B33" s="19">
        <v>2010</v>
      </c>
      <c r="C33" s="20">
        <v>550.79999999999995</v>
      </c>
      <c r="G33" s="13"/>
      <c r="H33" s="19" t="s">
        <v>99</v>
      </c>
      <c r="I33" s="19">
        <v>2000</v>
      </c>
      <c r="J33" s="20">
        <v>156.69999999999999</v>
      </c>
      <c r="O33" s="13"/>
      <c r="P33" s="19" t="s">
        <v>99</v>
      </c>
      <c r="Q33" s="19">
        <v>2000</v>
      </c>
      <c r="R33" s="20">
        <v>17.09</v>
      </c>
    </row>
    <row r="34" spans="1:18">
      <c r="A34" s="19" t="s">
        <v>99</v>
      </c>
      <c r="B34" s="19">
        <v>2011</v>
      </c>
      <c r="C34" s="21">
        <v>585.70000000000005</v>
      </c>
      <c r="G34" s="13"/>
      <c r="H34" s="19" t="s">
        <v>99</v>
      </c>
      <c r="I34" s="19">
        <v>2001</v>
      </c>
      <c r="J34" s="20">
        <v>158.4</v>
      </c>
      <c r="O34" s="13"/>
      <c r="P34" s="19" t="s">
        <v>99</v>
      </c>
      <c r="Q34" s="19">
        <v>2001</v>
      </c>
      <c r="R34" s="20">
        <v>17.57</v>
      </c>
    </row>
    <row r="35" spans="1:18">
      <c r="A35" s="19" t="s">
        <v>99</v>
      </c>
      <c r="B35" s="19">
        <v>2012</v>
      </c>
      <c r="C35" s="21">
        <v>584.6</v>
      </c>
      <c r="G35" s="13"/>
      <c r="H35" s="19" t="s">
        <v>99</v>
      </c>
      <c r="I35" s="19">
        <v>2002</v>
      </c>
      <c r="J35" s="20">
        <v>157.30000000000001</v>
      </c>
      <c r="O35" s="13"/>
      <c r="P35" s="19" t="s">
        <v>99</v>
      </c>
      <c r="Q35" s="19">
        <v>2002</v>
      </c>
      <c r="R35" s="20">
        <v>17.97</v>
      </c>
    </row>
    <row r="36" spans="1:18">
      <c r="A36" s="19" t="s">
        <v>99</v>
      </c>
      <c r="B36" s="19">
        <v>2013</v>
      </c>
      <c r="C36" s="21">
        <v>567.29999999999995</v>
      </c>
      <c r="G36" s="13"/>
      <c r="H36" s="19" t="s">
        <v>99</v>
      </c>
      <c r="I36" s="19">
        <v>2003</v>
      </c>
      <c r="J36" s="20">
        <v>164.6</v>
      </c>
      <c r="O36" s="13"/>
      <c r="P36" s="19" t="s">
        <v>99</v>
      </c>
      <c r="Q36" s="19">
        <v>2003</v>
      </c>
      <c r="R36" s="20">
        <v>18.5</v>
      </c>
    </row>
    <row r="37" spans="1:18">
      <c r="A37" s="19" t="s">
        <v>99</v>
      </c>
      <c r="B37" s="19">
        <v>2014</v>
      </c>
      <c r="C37" s="21">
        <v>576.1</v>
      </c>
      <c r="G37" s="13"/>
      <c r="H37" s="19" t="s">
        <v>99</v>
      </c>
      <c r="I37" s="19">
        <v>2004</v>
      </c>
      <c r="J37" s="20">
        <v>172.8</v>
      </c>
      <c r="O37" s="13"/>
      <c r="P37" s="19" t="s">
        <v>99</v>
      </c>
      <c r="Q37" s="19">
        <v>2004</v>
      </c>
      <c r="R37" s="20">
        <v>19.170000000000002</v>
      </c>
    </row>
    <row r="38" spans="1:18">
      <c r="A38" s="19" t="s">
        <v>99</v>
      </c>
      <c r="B38" s="19">
        <v>2015</v>
      </c>
      <c r="C38" s="21">
        <v>556.79999999999995</v>
      </c>
      <c r="G38" s="13"/>
      <c r="H38" s="19" t="s">
        <v>99</v>
      </c>
      <c r="I38" s="19">
        <v>2005</v>
      </c>
      <c r="J38" s="20">
        <v>187.3</v>
      </c>
      <c r="O38" s="13"/>
      <c r="P38" s="19" t="s">
        <v>99</v>
      </c>
      <c r="Q38" s="19">
        <v>2005</v>
      </c>
      <c r="R38" s="20">
        <v>19.670000000000002</v>
      </c>
    </row>
    <row r="39" spans="1:18">
      <c r="A39" s="19" t="s">
        <v>99</v>
      </c>
      <c r="B39" s="19">
        <v>2016</v>
      </c>
      <c r="C39" s="21">
        <v>541.70000000000005</v>
      </c>
      <c r="G39" s="13"/>
      <c r="H39" s="19" t="s">
        <v>99</v>
      </c>
      <c r="I39" s="19">
        <v>2006</v>
      </c>
      <c r="J39" s="20">
        <v>196.8</v>
      </c>
      <c r="O39" s="13"/>
      <c r="P39" s="19" t="s">
        <v>99</v>
      </c>
      <c r="Q39" s="19">
        <v>2006</v>
      </c>
      <c r="R39" s="20">
        <v>19.600000000000001</v>
      </c>
    </row>
    <row r="40" spans="1:18">
      <c r="A40" s="19" t="s">
        <v>99</v>
      </c>
      <c r="B40" s="19">
        <v>2017</v>
      </c>
      <c r="C40" s="21">
        <v>567.5</v>
      </c>
      <c r="G40" s="13"/>
      <c r="H40" s="19" t="s">
        <v>99</v>
      </c>
      <c r="I40" s="19">
        <v>2007</v>
      </c>
      <c r="J40" s="20">
        <v>203.3</v>
      </c>
      <c r="O40" s="13"/>
      <c r="P40" s="19" t="s">
        <v>99</v>
      </c>
      <c r="Q40" s="19">
        <v>2007</v>
      </c>
      <c r="R40" s="20">
        <v>19.55</v>
      </c>
    </row>
    <row r="41" spans="1:18">
      <c r="A41" s="19" t="s">
        <v>99</v>
      </c>
      <c r="B41" s="19">
        <v>2018</v>
      </c>
      <c r="C41" s="21">
        <v>603.1</v>
      </c>
      <c r="G41" s="13"/>
      <c r="H41" s="19" t="s">
        <v>99</v>
      </c>
      <c r="I41" s="19">
        <v>2008</v>
      </c>
      <c r="J41" s="20">
        <v>228.2</v>
      </c>
      <c r="O41" s="13"/>
      <c r="P41" s="19" t="s">
        <v>99</v>
      </c>
      <c r="Q41" s="19">
        <v>2008</v>
      </c>
      <c r="R41" s="20">
        <v>19.5</v>
      </c>
    </row>
    <row r="42" spans="1:18">
      <c r="A42" s="19" t="s">
        <v>100</v>
      </c>
      <c r="B42" s="19">
        <v>2019</v>
      </c>
      <c r="C42" s="21">
        <v>575.25833333333298</v>
      </c>
      <c r="G42" s="13"/>
      <c r="H42" s="19" t="s">
        <v>99</v>
      </c>
      <c r="I42" s="19">
        <v>2009</v>
      </c>
      <c r="J42" s="20">
        <v>224.8</v>
      </c>
      <c r="O42" s="13"/>
      <c r="P42" s="19" t="s">
        <v>99</v>
      </c>
      <c r="Q42" s="19">
        <v>2009</v>
      </c>
      <c r="R42" s="20">
        <v>20.3</v>
      </c>
    </row>
    <row r="43" spans="1:18">
      <c r="A43" s="19" t="s">
        <v>100</v>
      </c>
      <c r="B43" s="19">
        <v>2020</v>
      </c>
      <c r="C43" s="21">
        <v>576.23</v>
      </c>
      <c r="G43" s="13"/>
      <c r="H43" s="19" t="s">
        <v>99</v>
      </c>
      <c r="I43" s="19">
        <v>2010</v>
      </c>
      <c r="J43" s="20">
        <v>233.7</v>
      </c>
      <c r="O43" s="13"/>
      <c r="P43" s="19" t="s">
        <v>99</v>
      </c>
      <c r="Q43" s="19">
        <v>2010</v>
      </c>
      <c r="R43" s="20">
        <v>21.07</v>
      </c>
    </row>
    <row r="44" spans="1:18">
      <c r="A44" s="19" t="s">
        <v>100</v>
      </c>
      <c r="B44" s="19">
        <v>2021</v>
      </c>
      <c r="C44" s="21">
        <v>577.20166666666705</v>
      </c>
      <c r="G44" s="13"/>
      <c r="H44" s="19" t="s">
        <v>99</v>
      </c>
      <c r="I44" s="19">
        <v>2011</v>
      </c>
      <c r="J44" s="20">
        <v>252.1</v>
      </c>
      <c r="O44" s="13"/>
      <c r="P44" s="19" t="s">
        <v>99</v>
      </c>
      <c r="Q44" s="19">
        <v>2011</v>
      </c>
      <c r="R44" s="20">
        <v>21.45</v>
      </c>
    </row>
    <row r="45" spans="1:18">
      <c r="A45" s="19" t="s">
        <v>100</v>
      </c>
      <c r="B45" s="19">
        <v>2022</v>
      </c>
      <c r="C45" s="21">
        <v>578.17333333333295</v>
      </c>
      <c r="G45" s="13"/>
      <c r="H45" s="19" t="s">
        <v>99</v>
      </c>
      <c r="I45" s="19">
        <v>2012</v>
      </c>
      <c r="J45" s="20">
        <v>260.3</v>
      </c>
      <c r="O45" s="13"/>
      <c r="P45" s="19" t="s">
        <v>99</v>
      </c>
      <c r="Q45" s="19">
        <v>2012</v>
      </c>
      <c r="R45" s="20">
        <v>21.45</v>
      </c>
    </row>
    <row r="46" spans="1:18">
      <c r="A46" s="19" t="s">
        <v>100</v>
      </c>
      <c r="B46" s="19">
        <v>2023</v>
      </c>
      <c r="C46" s="21">
        <v>579.14499999999998</v>
      </c>
      <c r="G46" s="13"/>
      <c r="H46" s="19" t="s">
        <v>99</v>
      </c>
      <c r="I46" s="19">
        <v>2013</v>
      </c>
      <c r="J46" s="20">
        <v>263.89999999999998</v>
      </c>
      <c r="O46" s="13"/>
      <c r="P46" s="19" t="s">
        <v>99</v>
      </c>
      <c r="Q46" s="19">
        <v>2013</v>
      </c>
      <c r="R46" s="20">
        <v>21.4</v>
      </c>
    </row>
    <row r="47" spans="1:18">
      <c r="A47" s="19" t="s">
        <v>100</v>
      </c>
      <c r="B47" s="19">
        <v>2024</v>
      </c>
      <c r="C47" s="21">
        <v>580.11666666666702</v>
      </c>
      <c r="G47" s="13"/>
      <c r="H47" s="19" t="s">
        <v>99</v>
      </c>
      <c r="I47" s="19">
        <v>2014</v>
      </c>
      <c r="J47" s="20">
        <v>269.2</v>
      </c>
      <c r="O47" s="13"/>
      <c r="P47" s="19" t="s">
        <v>99</v>
      </c>
      <c r="Q47" s="19">
        <v>2014</v>
      </c>
      <c r="R47" s="20">
        <v>21.49</v>
      </c>
    </row>
    <row r="48" spans="1:18">
      <c r="A48" s="19" t="s">
        <v>100</v>
      </c>
      <c r="B48" s="19">
        <v>2025</v>
      </c>
      <c r="C48" s="21">
        <v>581.08833333333303</v>
      </c>
      <c r="G48" s="13"/>
      <c r="H48" s="19" t="s">
        <v>99</v>
      </c>
      <c r="I48" s="19">
        <v>2015</v>
      </c>
      <c r="J48" s="20">
        <v>264.8</v>
      </c>
      <c r="O48" s="13"/>
      <c r="P48" s="19" t="s">
        <v>99</v>
      </c>
      <c r="Q48" s="19">
        <v>2015</v>
      </c>
      <c r="R48" s="20">
        <v>21.76</v>
      </c>
    </row>
    <row r="49" spans="7:18">
      <c r="G49" s="13"/>
      <c r="H49" s="19" t="s">
        <v>99</v>
      </c>
      <c r="I49" s="19">
        <v>2016</v>
      </c>
      <c r="J49" s="20">
        <v>267.10000000000002</v>
      </c>
      <c r="O49" s="13"/>
      <c r="P49" s="19" t="s">
        <v>99</v>
      </c>
      <c r="Q49" s="19">
        <v>2016</v>
      </c>
      <c r="R49" s="21">
        <v>22.71</v>
      </c>
    </row>
    <row r="50" spans="7:18">
      <c r="G50" s="13"/>
      <c r="H50" s="19" t="s">
        <v>99</v>
      </c>
      <c r="I50" s="19">
        <v>2017</v>
      </c>
      <c r="J50" s="20">
        <v>277.60000000000002</v>
      </c>
      <c r="O50" s="13"/>
      <c r="P50" s="19" t="s">
        <v>99</v>
      </c>
      <c r="Q50" s="19">
        <v>2017</v>
      </c>
      <c r="R50" s="22">
        <v>24.29</v>
      </c>
    </row>
    <row r="51" spans="7:18">
      <c r="G51" s="13"/>
      <c r="H51" s="19" t="s">
        <v>99</v>
      </c>
      <c r="I51" s="19">
        <v>2018</v>
      </c>
      <c r="J51" s="20">
        <v>290.2</v>
      </c>
      <c r="O51" s="13"/>
      <c r="P51" s="19" t="s">
        <v>99</v>
      </c>
      <c r="Q51" s="19">
        <v>2018</v>
      </c>
      <c r="R51" s="22">
        <v>25.46</v>
      </c>
    </row>
    <row r="52" spans="7:18">
      <c r="G52" s="13"/>
      <c r="H52" s="19" t="s">
        <v>99</v>
      </c>
      <c r="I52" s="19">
        <v>2019</v>
      </c>
      <c r="J52" s="20">
        <v>292.10000000000002</v>
      </c>
      <c r="O52" s="13"/>
      <c r="P52" s="19" t="s">
        <v>99</v>
      </c>
      <c r="Q52" s="19">
        <v>2019</v>
      </c>
      <c r="R52" s="22">
        <v>25.46</v>
      </c>
    </row>
    <row r="53" spans="7:18">
      <c r="G53" s="13"/>
      <c r="H53" s="19" t="s">
        <v>99</v>
      </c>
      <c r="I53" s="19">
        <v>2020</v>
      </c>
      <c r="J53" s="21">
        <v>288.92</v>
      </c>
      <c r="O53" s="13"/>
      <c r="P53" s="19" t="s">
        <v>100</v>
      </c>
      <c r="Q53" s="19">
        <v>2020</v>
      </c>
      <c r="R53" s="22">
        <v>26.835000000000001</v>
      </c>
    </row>
    <row r="54" spans="7:18">
      <c r="G54" s="13"/>
      <c r="H54" s="19" t="s">
        <v>99</v>
      </c>
      <c r="I54" s="19">
        <v>2021</v>
      </c>
      <c r="J54" s="21">
        <v>322.83199999999999</v>
      </c>
      <c r="O54" s="13"/>
      <c r="P54" s="19" t="s">
        <v>100</v>
      </c>
      <c r="Q54" s="19">
        <v>2021</v>
      </c>
      <c r="R54" s="22">
        <v>27.777000000000001</v>
      </c>
    </row>
    <row r="55" spans="7:18">
      <c r="G55" s="13"/>
      <c r="H55" s="19" t="s">
        <v>100</v>
      </c>
      <c r="I55" s="19">
        <v>2022</v>
      </c>
      <c r="J55" s="21">
        <v>307.28181818181798</v>
      </c>
      <c r="O55" s="13"/>
      <c r="P55" s="19" t="s">
        <v>100</v>
      </c>
      <c r="Q55" s="19">
        <v>2022</v>
      </c>
      <c r="R55" s="22">
        <v>28.719000000000001</v>
      </c>
    </row>
    <row r="56" spans="7:18">
      <c r="G56" s="13"/>
      <c r="H56" s="19" t="s">
        <v>100</v>
      </c>
      <c r="I56" s="19">
        <v>2023</v>
      </c>
      <c r="J56" s="21">
        <v>312.63939393939398</v>
      </c>
      <c r="O56" s="13"/>
      <c r="P56" s="19" t="s">
        <v>100</v>
      </c>
      <c r="Q56" s="19">
        <v>2023</v>
      </c>
      <c r="R56" s="22">
        <v>29.661000000000001</v>
      </c>
    </row>
    <row r="57" spans="7:18">
      <c r="G57" s="13"/>
      <c r="H57" s="19" t="s">
        <v>100</v>
      </c>
      <c r="I57" s="19">
        <v>2024</v>
      </c>
      <c r="J57" s="21">
        <v>317.99696969696998</v>
      </c>
      <c r="O57" s="13"/>
      <c r="P57" s="19" t="s">
        <v>100</v>
      </c>
      <c r="Q57" s="19">
        <v>2024</v>
      </c>
      <c r="R57" s="22">
        <v>30.603000000000002</v>
      </c>
    </row>
    <row r="58" spans="7:18">
      <c r="G58" s="13"/>
      <c r="H58" s="19" t="s">
        <v>100</v>
      </c>
      <c r="I58" s="19">
        <v>2025</v>
      </c>
      <c r="J58" s="21">
        <v>323.35454545454502</v>
      </c>
      <c r="O58" s="13"/>
      <c r="P58" s="19" t="s">
        <v>100</v>
      </c>
      <c r="Q58" s="19">
        <v>2025</v>
      </c>
      <c r="R58" s="22">
        <v>31.545000000000002</v>
      </c>
    </row>
  </sheetData>
  <hyperlinks>
    <hyperlink ref="J3" r:id="rId1" location="0" xr:uid="{0A34F2D3-FAC7-4EBD-954D-0B9A9A009DA8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logistics</vt:lpstr>
      <vt:lpstr>industrial</vt:lpstr>
      <vt:lpstr>2025_feed_price</vt:lpstr>
      <vt:lpstr>commercial</vt:lpstr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Hannah</dc:creator>
  <cp:lastModifiedBy>Wang, Hannah</cp:lastModifiedBy>
  <dcterms:created xsi:type="dcterms:W3CDTF">2025-08-21T20:08:50Z</dcterms:created>
  <dcterms:modified xsi:type="dcterms:W3CDTF">2026-09-25T15:09:52Z</dcterms:modified>
</cp:coreProperties>
</file>